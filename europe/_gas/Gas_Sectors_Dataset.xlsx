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po002\Desktop\Work\1_MOPO\WP2\Gas_Sector\"/>
    </mc:Choice>
  </mc:AlternateContent>
  <xr:revisionPtr revIDLastSave="0" documentId="13_ncr:1_{2E2C4410-72A6-49BF-9D25-CA2CA0A39D45}" xr6:coauthVersionLast="47" xr6:coauthVersionMax="47" xr10:uidLastSave="{00000000-0000-0000-0000-000000000000}"/>
  <bookViews>
    <workbookView xWindow="384" yWindow="1104" windowWidth="23040" windowHeight="12120" tabRatio="894" xr2:uid="{8EFE3EAE-CE21-4F90-AC97-5C3E007313D2}"/>
  </bookViews>
  <sheets>
    <sheet name="CH4_Production" sheetId="1" r:id="rId1"/>
    <sheet name="CH4_Storage" sheetId="2" r:id="rId2"/>
    <sheet name="CH4_Network" sheetId="3" r:id="rId3"/>
    <sheet name="H2_Production" sheetId="14" r:id="rId4"/>
    <sheet name="H2_Storage" sheetId="4" r:id="rId5"/>
    <sheet name="H2_Network" sheetId="7" r:id="rId6"/>
    <sheet name="Technology_Costs" sheetId="17" r:id="rId7"/>
    <sheet name="Technology_Conversion" sheetId="19" r:id="rId8"/>
    <sheet name="Storage_Costs" sheetId="18" r:id="rId9"/>
  </sheets>
  <definedNames>
    <definedName name="_xlnm._FilterDatabase" localSheetId="2" hidden="1">CH4_Network!$A$1:$E$98</definedName>
    <definedName name="_xlnm._FilterDatabase" localSheetId="0" hidden="1">CH4_Production!$B$1:$B$56</definedName>
    <definedName name="_xlnm._FilterDatabase" localSheetId="1" hidden="1">CH4_Storage!$A$1:$E$65</definedName>
    <definedName name="_xlnm._FilterDatabase" localSheetId="5" hidden="1">H2_Network!$B$1:$B$77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" i="3" l="1"/>
  <c r="E91" i="3"/>
  <c r="D91" i="3"/>
  <c r="E43" i="3"/>
  <c r="D43" i="3"/>
</calcChain>
</file>

<file path=xl/sharedStrings.xml><?xml version="1.0" encoding="utf-8"?>
<sst xmlns="http://schemas.openxmlformats.org/spreadsheetml/2006/main" count="820" uniqueCount="146">
  <si>
    <t>Year</t>
  </si>
  <si>
    <t>To Country</t>
  </si>
  <si>
    <t>Country</t>
  </si>
  <si>
    <t>From Country</t>
  </si>
  <si>
    <t>AT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</si>
  <si>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</si>
  <si>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</si>
  <si>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</si>
  <si>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</si>
  <si>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</si>
  <si>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</si>
  <si>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</si>
  <si>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</si>
  <si>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</si>
  <si>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</si>
  <si>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</si>
  <si>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</si>
  <si>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</si>
  <si>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</si>
  <si>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</si>
  <si>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</si>
  <si>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</si>
  <si>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</si>
  <si>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</si>
  <si>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</si>
  <si>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</si>
  <si>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</si>
  <si>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</si>
  <si>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</si>
  <si>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</si>
  <si>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</si>
  <si>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LI</t>
  </si>
  <si>
    <t>UK</t>
  </si>
  <si>
    <t>Capacity (TWh)</t>
  </si>
  <si>
    <t>RS</t>
  </si>
  <si>
    <t>UA</t>
  </si>
  <si>
    <t>Injection (GWh/d)</t>
  </si>
  <si>
    <t>Withdrawal (GWh/d)</t>
  </si>
  <si>
    <t>Injection Cost (€/MWh)</t>
  </si>
  <si>
    <t>Withdrawal Cost (€/MWh)</t>
  </si>
  <si>
    <t>Operational Cost (€/MWh)</t>
  </si>
  <si>
    <t>Capacity (GWh/d)</t>
  </si>
  <si>
    <t>LNG-terminal</t>
  </si>
  <si>
    <t>technology</t>
  </si>
  <si>
    <t>TR</t>
  </si>
  <si>
    <t>CH</t>
  </si>
  <si>
    <t>NO</t>
  </si>
  <si>
    <t>MD</t>
  </si>
  <si>
    <t>BA</t>
  </si>
  <si>
    <t>MK</t>
  </si>
  <si>
    <t>AEC</t>
  </si>
  <si>
    <t>PEM</t>
  </si>
  <si>
    <t>SOEC</t>
  </si>
  <si>
    <t>SMR</t>
  </si>
  <si>
    <t>SMR+CC</t>
  </si>
  <si>
    <t>tech</t>
  </si>
  <si>
    <t>Currency</t>
  </si>
  <si>
    <t>Metadata</t>
  </si>
  <si>
    <t>CH4</t>
  </si>
  <si>
    <t>H2</t>
  </si>
  <si>
    <t>elec</t>
  </si>
  <si>
    <t>ren_fuel</t>
  </si>
  <si>
    <t>gas-pyrolysis</t>
  </si>
  <si>
    <t>methanation</t>
  </si>
  <si>
    <t>PyPSA</t>
  </si>
  <si>
    <t>CO2</t>
  </si>
  <si>
    <t>bio</t>
  </si>
  <si>
    <t>DAC</t>
  </si>
  <si>
    <t>Charge Efficiency</t>
  </si>
  <si>
    <t>Discharge Efficiency</t>
  </si>
  <si>
    <t>lifetime</t>
  </si>
  <si>
    <t>gas-extraction</t>
  </si>
  <si>
    <t>Italy</t>
  </si>
  <si>
    <t>AL</t>
  </si>
  <si>
    <t xml:space="preserve">Capacity (MW) </t>
  </si>
  <si>
    <t>CAPACITY [GWh]</t>
  </si>
  <si>
    <t>MAX POWER [MW]</t>
  </si>
  <si>
    <t>MAX LOAD [MW]</t>
  </si>
  <si>
    <t>FOM (€/MW/y)</t>
  </si>
  <si>
    <t>VOM (€/MWh)</t>
  </si>
  <si>
    <t>hours_ratio</t>
  </si>
  <si>
    <t>CAPEX (M€/MWh)</t>
  </si>
  <si>
    <t>year</t>
  </si>
  <si>
    <t>storage</t>
  </si>
  <si>
    <t>LH2-terminal</t>
  </si>
  <si>
    <t>H2-import-DZ</t>
  </si>
  <si>
    <t>CH4-import-DZ</t>
  </si>
  <si>
    <t>CH4-import-LY</t>
  </si>
  <si>
    <t>CH4-import-MA</t>
  </si>
  <si>
    <t>CH4-import-BL</t>
  </si>
  <si>
    <t>CH4-import-RU</t>
  </si>
  <si>
    <t>CH4-geo-formation</t>
  </si>
  <si>
    <t>salt-cavern</t>
  </si>
  <si>
    <t>Potentials 2030 (GWh/d)</t>
  </si>
  <si>
    <t>Potentials 2040 (GWh/d)</t>
  </si>
  <si>
    <t>CAPEX 2030 (M€/(GWh/d))</t>
  </si>
  <si>
    <t>CAPEX 2040 (M€/(GWh/d))</t>
  </si>
  <si>
    <t>to</t>
  </si>
  <si>
    <t>from</t>
  </si>
  <si>
    <t>node</t>
  </si>
  <si>
    <t>capex 2030 (M€/MW)</t>
  </si>
  <si>
    <t>fom 2030 (€/MW/y)</t>
  </si>
  <si>
    <t>vom 2030 (€/MWh)</t>
  </si>
  <si>
    <t>vom 2050 (€/MWh)</t>
  </si>
  <si>
    <t>vom 2040 (€/MWh)</t>
  </si>
  <si>
    <t>fom 2050 (€/MW/y)</t>
  </si>
  <si>
    <t>fom 2040 (€/MW/y)</t>
  </si>
  <si>
    <t>capex 2050 (M€/MW)</t>
  </si>
  <si>
    <t>capex 2040 (M€/MW)</t>
  </si>
  <si>
    <t>Description</t>
  </si>
  <si>
    <t>source</t>
  </si>
  <si>
    <t>Source</t>
  </si>
  <si>
    <t>Steam methane reforming</t>
  </si>
  <si>
    <t>Steam methane reforming plus carbon capture</t>
  </si>
  <si>
    <t>Electrolysis</t>
  </si>
  <si>
    <t>Pyrolysis of methane</t>
  </si>
  <si>
    <t>Sabatier process to produce syn-methane</t>
  </si>
  <si>
    <t>Biomass digestion and upgrading</t>
  </si>
  <si>
    <t>Biomass digestion and upgrading plus carbon capture</t>
  </si>
  <si>
    <t>Biomass digestion and methanation</t>
  </si>
  <si>
    <t>Direct air capture</t>
  </si>
  <si>
    <t>technology-data/outputs at master · PyPSA/technology-data</t>
  </si>
  <si>
    <t>Technology Data for Renewable Fuels</t>
  </si>
  <si>
    <t>currency</t>
  </si>
  <si>
    <t>Technology Data for Energy Storage</t>
  </si>
  <si>
    <t>Technology Data for Renewable Fuels PDF</t>
  </si>
  <si>
    <t>bio-diges-up</t>
  </si>
  <si>
    <t>bio-diges-up+CC</t>
  </si>
  <si>
    <t>bio-diges-metha</t>
  </si>
  <si>
    <t>Biomass gasification and methanation</t>
  </si>
  <si>
    <t>Biomass gasification and methanation plus carbon capture</t>
  </si>
  <si>
    <t>bio-gasif-metha</t>
  </si>
  <si>
    <t>bio-gasif-metha+CC</t>
  </si>
  <si>
    <t>commodity</t>
  </si>
  <si>
    <t>Operating Cost (€/MWh)</t>
  </si>
  <si>
    <t>2030 MAX CAPACITY [GWh]</t>
  </si>
  <si>
    <t>2040 MAX CAPACITY [GWh]</t>
  </si>
  <si>
    <t>2050 MAX CAPACITY [GWh]</t>
  </si>
  <si>
    <t>2030 MAX POWER EXPANSION [MW]</t>
  </si>
  <si>
    <t>2030 MAX LOAD EXPANSION [MW]</t>
  </si>
  <si>
    <t>2040 MAX LOAD EXPANSION [MW]</t>
  </si>
  <si>
    <t>2050 MAX LOAD EXPANSION [MW]</t>
  </si>
  <si>
    <t>2040 MAX POWER EXPANSION [MW]</t>
  </si>
  <si>
    <t>2050 MAX POWER EXPANSION [MW]</t>
  </si>
  <si>
    <t xml:space="preserve">Capacity 2030 (GWh/d) </t>
  </si>
  <si>
    <t>https://ens.dk/en/analyses-and-statistics/technology-data-carbon-capture-transport-and-storage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</si>
</sst>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FFFF"/>
      <name val="Consolas"/>
    </font>
    <font>
      <sz val="11"/>
      <color theme="0"/>
      <name val="Consolas"/>
    </font>
    <font>
      <sz val="11"/>
      <color rgb="FF000000"/>
      <name val="Consolas"/>
    </font>
    <font>
      <sz val="11"/>
      <color theme="1"/>
      <name val="Consolas"/>
    </font>
    <font>
      <sz val="11"/>
      <color rgb="FF000000"/>
      <name val="Calibri"/>
      <family val="2"/>
      <scheme val="minor"/>
    </font>
    <font>
      <sz val="11"/>
      <color theme="0"/>
      <name val="Consolas"/>
      <family val="3"/>
    </font>
    <font>
      <sz val="11"/>
      <color rgb="FFFFFFFF"/>
      <name val="Consolas"/>
      <family val="3"/>
    </font>
    <font>
      <b/>
      <sz val="11"/>
      <color theme="0"/>
      <name val="Consolas"/>
      <family val="3"/>
    </font>
    <font>
      <sz val="11"/>
      <color theme="1"/>
      <name val="Consolas"/>
      <family val="3"/>
    </font>
    <font>
      <sz val="10"/>
      <name val="Consolas"/>
      <family val="3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onsolas"/>
      <family val="3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000000"/>
      </patternFill>
    </fill>
  </fills>
  <borders count="2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/>
      <diagonal/>
    </border>
    <border>
      <left style="thin">
        <color rgb="FFC6C6C6"/>
      </left>
      <right style="thin">
        <color rgb="FFC6C6C6"/>
      </right>
      <top/>
      <bottom style="thin">
        <color rgb="FFC6C6C6"/>
      </bottom>
      <diagonal/>
    </border>
    <border>
      <left/>
      <right style="thin">
        <color rgb="FFC6C6C6"/>
      </right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rgb="FFC6C6C6"/>
      </left>
      <right/>
      <top style="thin">
        <color rgb="FFC6C6C6"/>
      </top>
      <bottom style="thin">
        <color rgb="FFC6C6C6"/>
      </bottom>
      <diagonal/>
    </border>
    <border>
      <left style="thin">
        <color rgb="FFC6C6C6"/>
      </left>
      <right/>
      <top style="thin">
        <color rgb="FFC6C6C6"/>
      </top>
      <bottom/>
      <diagonal/>
    </border>
    <border>
      <left style="thin">
        <color rgb="FFC6C6C6"/>
      </left>
      <right/>
      <top/>
      <bottom style="thin">
        <color rgb="FFC6C6C6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rgb="FFC6C6C6"/>
      </top>
      <bottom/>
      <diagonal/>
    </border>
    <border>
      <left style="thin">
        <color rgb="FFC6C6C6"/>
      </left>
      <right style="thin">
        <color rgb="FFC6C6C6"/>
      </right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theme="0"/>
      </bottom>
      <diagonal/>
    </border>
    <border>
      <left style="thin">
        <color rgb="FFC6C6C6"/>
      </left>
      <right/>
      <top style="thin">
        <color rgb="FFC6C6C6"/>
      </top>
      <bottom style="thin">
        <color theme="0"/>
      </bottom>
      <diagonal/>
    </border>
    <border>
      <left style="thin">
        <color rgb="FFC6C6C6"/>
      </left>
      <right/>
      <top/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9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right"/>
    </xf>
    <xf numFmtId="0" fontId="7" fillId="0" borderId="0" xfId="0" applyFont="1"/>
    <xf numFmtId="0" fontId="7" fillId="0" borderId="0" xfId="0" applyFont="1" applyAlignment="1">
      <alignment horizontal="right"/>
    </xf>
    <xf numFmtId="0" fontId="4" fillId="2" borderId="6" xfId="0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4" fontId="5" fillId="0" borderId="14" xfId="0" applyNumberFormat="1" applyFont="1" applyBorder="1" applyAlignment="1">
      <alignment horizontal="center" vertical="center"/>
    </xf>
    <xf numFmtId="0" fontId="9" fillId="3" borderId="10" xfId="0" applyFont="1" applyFill="1" applyBorder="1" applyAlignment="1">
      <alignment horizontal="center"/>
    </xf>
    <xf numFmtId="0" fontId="3" fillId="3" borderId="18" xfId="0" applyFont="1" applyFill="1" applyBorder="1" applyAlignment="1">
      <alignment horizontal="left"/>
    </xf>
    <xf numFmtId="0" fontId="3" fillId="3" borderId="18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left"/>
    </xf>
    <xf numFmtId="0" fontId="3" fillId="3" borderId="10" xfId="0" applyFont="1" applyFill="1" applyBorder="1" applyAlignment="1">
      <alignment horizontal="left"/>
    </xf>
    <xf numFmtId="0" fontId="3" fillId="3" borderId="11" xfId="0" applyFont="1" applyFill="1" applyBorder="1" applyAlignment="1">
      <alignment horizontal="left"/>
    </xf>
    <xf numFmtId="0" fontId="4" fillId="2" borderId="15" xfId="0" applyFont="1" applyFill="1" applyBorder="1" applyAlignment="1">
      <alignment horizontal="left" vertical="center"/>
    </xf>
    <xf numFmtId="3" fontId="9" fillId="6" borderId="4" xfId="0" applyNumberFormat="1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4" fontId="5" fillId="0" borderId="14" xfId="0" applyNumberFormat="1" applyFont="1" applyBorder="1" applyAlignment="1">
      <alignment horizontal="center" vertical="center" wrapText="1"/>
    </xf>
    <xf numFmtId="3" fontId="5" fillId="0" borderId="14" xfId="0" applyNumberFormat="1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3" fontId="6" fillId="0" borderId="14" xfId="0" applyNumberFormat="1" applyFont="1" applyBorder="1" applyAlignment="1">
      <alignment horizontal="center" vertical="top"/>
    </xf>
    <xf numFmtId="0" fontId="11" fillId="0" borderId="14" xfId="0" applyFont="1" applyBorder="1" applyAlignment="1">
      <alignment horizontal="center" vertical="center"/>
    </xf>
    <xf numFmtId="0" fontId="3" fillId="3" borderId="19" xfId="0" applyFont="1" applyFill="1" applyBorder="1" applyAlignment="1">
      <alignment horizontal="left"/>
    </xf>
    <xf numFmtId="0" fontId="0" fillId="0" borderId="14" xfId="0" applyBorder="1"/>
    <xf numFmtId="0" fontId="0" fillId="0" borderId="14" xfId="0" applyBorder="1" applyAlignment="1">
      <alignment horizontal="center"/>
    </xf>
    <xf numFmtId="0" fontId="3" fillId="3" borderId="19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2" fontId="5" fillId="0" borderId="14" xfId="0" applyNumberFormat="1" applyFon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11" fillId="0" borderId="14" xfId="0" applyNumberFormat="1" applyFont="1" applyBorder="1" applyAlignment="1">
      <alignment horizontal="center" vertical="center"/>
    </xf>
    <xf numFmtId="2" fontId="0" fillId="0" borderId="14" xfId="0" applyNumberFormat="1" applyBorder="1" applyAlignment="1">
      <alignment horizontal="center"/>
    </xf>
    <xf numFmtId="0" fontId="13" fillId="0" borderId="0" xfId="1"/>
    <xf numFmtId="0" fontId="13" fillId="0" borderId="14" xfId="1" applyBorder="1"/>
    <xf numFmtId="0" fontId="8" fillId="5" borderId="12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center" vertical="center"/>
    </xf>
    <xf numFmtId="4" fontId="5" fillId="0" borderId="21" xfId="0" applyNumberFormat="1" applyFont="1" applyBorder="1" applyAlignment="1">
      <alignment horizontal="center" vertical="center"/>
    </xf>
    <xf numFmtId="0" fontId="0" fillId="0" borderId="21" xfId="0" applyBorder="1" applyAlignment="1">
      <alignment horizontal="center"/>
    </xf>
    <xf numFmtId="2" fontId="0" fillId="0" borderId="21" xfId="0" applyNumberFormat="1" applyBorder="1" applyAlignment="1">
      <alignment horizontal="center" vertical="center"/>
    </xf>
    <xf numFmtId="2" fontId="0" fillId="0" borderId="21" xfId="0" applyNumberFormat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2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4" fontId="11" fillId="0" borderId="13" xfId="0" applyNumberFormat="1" applyFont="1" applyBorder="1" applyAlignment="1">
      <alignment horizontal="center" vertical="center"/>
    </xf>
    <xf numFmtId="0" fontId="14" fillId="5" borderId="1" xfId="0" applyFont="1" applyFill="1" applyBorder="1"/>
    <xf numFmtId="0" fontId="10" fillId="5" borderId="1" xfId="0" applyFont="1" applyFill="1" applyBorder="1" applyAlignment="1">
      <alignment horizontal="center"/>
    </xf>
    <xf numFmtId="0" fontId="8" fillId="5" borderId="1" xfId="0" applyFont="1" applyFill="1" applyBorder="1"/>
    <xf numFmtId="2" fontId="11" fillId="0" borderId="0" xfId="0" applyNumberFormat="1" applyFont="1"/>
    <xf numFmtId="2" fontId="11" fillId="0" borderId="0" xfId="0" applyNumberFormat="1" applyFont="1" applyAlignment="1">
      <alignment horizontal="right"/>
    </xf>
    <xf numFmtId="2" fontId="11" fillId="4" borderId="0" xfId="0" applyNumberFormat="1" applyFont="1" applyFill="1"/>
    <xf numFmtId="0" fontId="15" fillId="0" borderId="0" xfId="0" applyFont="1"/>
    <xf numFmtId="2" fontId="15" fillId="0" borderId="0" xfId="0" applyNumberFormat="1" applyFont="1" applyAlignment="1">
      <alignment horizontal="right" vertical="center"/>
    </xf>
    <xf numFmtId="2" fontId="15" fillId="0" borderId="0" xfId="0" applyNumberFormat="1" applyFont="1"/>
    <xf numFmtId="2" fontId="10" fillId="5" borderId="1" xfId="0" applyNumberFormat="1" applyFont="1" applyFill="1" applyBorder="1" applyAlignment="1">
      <alignment horizontal="center"/>
    </xf>
    <xf numFmtId="0" fontId="8" fillId="5" borderId="22" xfId="0" applyFont="1" applyFill="1" applyBorder="1"/>
    <xf numFmtId="0" fontId="8" fillId="5" borderId="1" xfId="0" applyFont="1" applyFill="1" applyBorder="1" applyAlignment="1">
      <alignment horizontal="center"/>
    </xf>
    <xf numFmtId="0" fontId="8" fillId="0" borderId="0" xfId="0" applyFont="1"/>
    <xf numFmtId="0" fontId="8" fillId="5" borderId="22" xfId="0" applyFont="1" applyFill="1" applyBorder="1" applyAlignment="1">
      <alignment horizontal="center"/>
    </xf>
    <xf numFmtId="0" fontId="14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2" fontId="5" fillId="0" borderId="23" xfId="0" applyNumberFormat="1" applyFont="1" applyBorder="1" applyAlignment="1">
      <alignment horizontal="center" vertical="center"/>
    </xf>
    <xf numFmtId="0" fontId="13" fillId="0" borderId="23" xfId="1" applyBorder="1"/>
    <xf numFmtId="0" fontId="8" fillId="5" borderId="1" xfId="0" applyFont="1" applyFill="1" applyBorder="1" applyAlignment="1">
      <alignment vertical="center"/>
    </xf>
    <xf numFmtId="0" fontId="8" fillId="0" borderId="1" xfId="0" applyFont="1" applyBorder="1"/>
    <xf numFmtId="2" fontId="16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ens.dk/en/analyses-and-statistics/technology-data-renewable-fuels" TargetMode="External"/><Relationship Id="rId3" Type="http://schemas.openxmlformats.org/officeDocument/2006/relationships/hyperlink" Target="https://github.com/PyPSA/technology-data/tree/master/outputs" TargetMode="External"/><Relationship Id="rId7" Type="http://schemas.openxmlformats.org/officeDocument/2006/relationships/hyperlink" Target="https://ens.dk/en/analyses-and-statistics/technology-data-renewable-fuels" TargetMode="External"/><Relationship Id="rId2" Type="http://schemas.openxmlformats.org/officeDocument/2006/relationships/hyperlink" Target="https://github.com/PyPSA/technology-data/tree/master/outputs" TargetMode="External"/><Relationship Id="rId1" Type="http://schemas.openxmlformats.org/officeDocument/2006/relationships/hyperlink" Target="https://github.com/PyPSA/technology-data/tree/master/outputs" TargetMode="External"/><Relationship Id="rId6" Type="http://schemas.openxmlformats.org/officeDocument/2006/relationships/hyperlink" Target="https://ens.dk/en/analyses-and-statistics/technology-data-renewable-fuels" TargetMode="External"/><Relationship Id="rId11" Type="http://schemas.openxmlformats.org/officeDocument/2006/relationships/hyperlink" Target="https://ens.dk/en/analyses-and-statistics/technology-data-renewable-fuels" TargetMode="External"/><Relationship Id="rId5" Type="http://schemas.openxmlformats.org/officeDocument/2006/relationships/hyperlink" Target="https://ens.dk/en/analyses-and-statistics/technology-data-renewable-fuels" TargetMode="External"/><Relationship Id="rId10" Type="http://schemas.openxmlformats.org/officeDocument/2006/relationships/hyperlink" Target="https://ens.dk/en/analyses-and-statistics/technology-data-renewable-fuels" TargetMode="External"/><Relationship Id="rId4" Type="http://schemas.openxmlformats.org/officeDocument/2006/relationships/hyperlink" Target="https://ens.dk/en/analyses-and-statistics/technology-data-renewable-fuels" TargetMode="External"/><Relationship Id="rId9" Type="http://schemas.openxmlformats.org/officeDocument/2006/relationships/hyperlink" Target="https://ens.dk/en/analyses-and-statistics/technology-data-renewable-fuels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ens.dk/en/analyses-and-statistics/technology-data-renewable-fuels" TargetMode="External"/><Relationship Id="rId13" Type="http://schemas.openxmlformats.org/officeDocument/2006/relationships/hyperlink" Target="https://ens.dk/en/analyses-and-statistics/technology-data-renewable-fuels" TargetMode="External"/><Relationship Id="rId3" Type="http://schemas.openxmlformats.org/officeDocument/2006/relationships/hyperlink" Target="https://github.com/PyPSA/technology-data/tree/master/outputs" TargetMode="External"/><Relationship Id="rId7" Type="http://schemas.openxmlformats.org/officeDocument/2006/relationships/hyperlink" Target="https://ens.dk/en/analyses-and-statistics/technology-data-renewable-fuels" TargetMode="External"/><Relationship Id="rId12" Type="http://schemas.openxmlformats.org/officeDocument/2006/relationships/hyperlink" Target="https://ens.dk/en/analyses-and-statistics/technology-data-renewable-fuels" TargetMode="External"/><Relationship Id="rId17" Type="http://schemas.openxmlformats.org/officeDocument/2006/relationships/printerSettings" Target="../printerSettings/printerSettings2.bin"/><Relationship Id="rId2" Type="http://schemas.openxmlformats.org/officeDocument/2006/relationships/hyperlink" Target="https://github.com/PyPSA/technology-data/tree/master/outputs" TargetMode="External"/><Relationship Id="rId16" Type="http://schemas.openxmlformats.org/officeDocument/2006/relationships/hyperlink" Target="https://ens.dk/en/analyses-and-statistics/technology-data-carbon-capture-transport-and-storage" TargetMode="External"/><Relationship Id="rId1" Type="http://schemas.openxmlformats.org/officeDocument/2006/relationships/hyperlink" Target="https://github.com/PyPSA/technology-data/tree/master/outputs" TargetMode="External"/><Relationship Id="rId6" Type="http://schemas.openxmlformats.org/officeDocument/2006/relationships/hyperlink" Target="https://ens.dk/en/analyses-and-statistics/technology-data-renewable-fuels" TargetMode="External"/><Relationship Id="rId11" Type="http://schemas.openxmlformats.org/officeDocument/2006/relationships/hyperlink" Target="https://ens.dk/en/analyses-and-statistics/technology-data-renewable-fuels" TargetMode="External"/><Relationship Id="rId5" Type="http://schemas.openxmlformats.org/officeDocument/2006/relationships/hyperlink" Target="https://ens.dk/en/analyses-and-statistics/technology-data-renewable-fuels" TargetMode="External"/><Relationship Id="rId15" Type="http://schemas.openxmlformats.org/officeDocument/2006/relationships/hyperlink" Target="https://ens.dk/en/analyses-and-statistics/technology-data-renewable-fuels" TargetMode="External"/><Relationship Id="rId10" Type="http://schemas.openxmlformats.org/officeDocument/2006/relationships/hyperlink" Target="https://ens.dk/en/analyses-and-statistics/technology-data-renewable-fuels" TargetMode="External"/><Relationship Id="rId4" Type="http://schemas.openxmlformats.org/officeDocument/2006/relationships/hyperlink" Target="https://github.com/PyPSA/technology-data/tree/master/outputs" TargetMode="External"/><Relationship Id="rId9" Type="http://schemas.openxmlformats.org/officeDocument/2006/relationships/hyperlink" Target="https://ens.dk/en/analyses-and-statistics/technology-data-renewable-fuels" TargetMode="External"/><Relationship Id="rId14" Type="http://schemas.openxmlformats.org/officeDocument/2006/relationships/hyperlink" Target="https://ens.dk/en/analyses-and-statistics/technology-data-renewable-fuels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ens.dk/en/analyses-and-statistics/technology-data-energy-storage" TargetMode="External"/><Relationship Id="rId2" Type="http://schemas.openxmlformats.org/officeDocument/2006/relationships/hyperlink" Target="https://ens.dk/en/analyses-and-statistics/technology-data-energy-storage" TargetMode="External"/><Relationship Id="rId1" Type="http://schemas.openxmlformats.org/officeDocument/2006/relationships/hyperlink" Target="https://ens.dk/en/analyses-and-statistics/technology-data-energy-stora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1D68E-88B4-452A-944F-0D4F4ED3D1A3}">
  <sheetPr codeName="Sheet1"/>
  <dimension ref="A1:E56"/>
  <sheetViews>
    <sheetView tabSelected="1" workbookViewId="0">
      <selection activeCell="F17" sqref="F17"/>
    </sheetView>
  </sheetViews>
  <sheetFormatPr defaultRowHeight="14.4" x14ac:dyDescent="0.3"/>
  <cols>
    <col min="1" max="1" width="24" style="86" customWidth="1"/>
    <col min="2" max="2" width="13.21875" style="43" customWidth="1"/>
    <col min="3" max="3" width="8.77734375" style="43"/>
    <col min="4" max="4" width="22.88671875" style="43" customWidth="1"/>
    <col min="5" max="5" width="23.5546875" style="43" customWidth="1"/>
  </cols>
  <sheetData>
    <row r="1" spans="1:5" s="1" customFormat="1" x14ac:dyDescent="0.3">
      <c r="A1" s="85" t="s">
        <v>43</v>
      </c>
      <c r="B1" s="85" t="s">
        <v>1</v>
      </c>
      <c r="C1" s="85" t="s">
        <v>0</v>
      </c>
      <c r="D1" s="85" t="s">
        <v>144</v>
      </c>
      <c r="E1" s="85" t="s">
        <v>40</v>
      </c>
    </row>
    <row r="2" spans="1:5" x14ac:dyDescent="0.3">
      <c r="A2" s="87" t="s">
        <v>42</v>
      </c>
      <c r="B2" s="68" t="s">
        <v>5</v>
      </c>
      <c r="C2" s="68">
        <v>2025</v>
      </c>
      <c r="D2" s="69">
        <v>669</v>
      </c>
      <c r="E2" s="69">
        <v>11.11</v>
      </c>
    </row>
    <row r="3" spans="1:5" x14ac:dyDescent="0.3">
      <c r="A3" s="85" t="s">
        <v>42</v>
      </c>
      <c r="B3" s="68" t="s">
        <v>16</v>
      </c>
      <c r="C3" s="68">
        <v>2025</v>
      </c>
      <c r="D3" s="69">
        <v>85.5</v>
      </c>
      <c r="E3" s="69">
        <v>11.93</v>
      </c>
    </row>
    <row r="4" spans="1:5" x14ac:dyDescent="0.3">
      <c r="A4" s="85" t="s">
        <v>42</v>
      </c>
      <c r="B4" s="68" t="s">
        <v>7</v>
      </c>
      <c r="C4" s="68">
        <v>2025</v>
      </c>
      <c r="D4" s="69">
        <v>40</v>
      </c>
      <c r="E4" s="69">
        <v>12.5</v>
      </c>
    </row>
    <row r="5" spans="1:5" x14ac:dyDescent="0.3">
      <c r="A5" s="85" t="s">
        <v>42</v>
      </c>
      <c r="B5" s="68" t="s">
        <v>13</v>
      </c>
      <c r="C5" s="68">
        <v>2025</v>
      </c>
      <c r="D5" s="69">
        <v>144.80000000000001</v>
      </c>
      <c r="E5" s="69">
        <v>11.39</v>
      </c>
    </row>
    <row r="6" spans="1:5" x14ac:dyDescent="0.3">
      <c r="A6" s="85" t="s">
        <v>42</v>
      </c>
      <c r="B6" s="68" t="s">
        <v>14</v>
      </c>
      <c r="C6" s="68">
        <v>2025</v>
      </c>
      <c r="D6" s="69">
        <v>1481</v>
      </c>
      <c r="E6" s="69">
        <v>11.61</v>
      </c>
    </row>
    <row r="7" spans="1:5" x14ac:dyDescent="0.3">
      <c r="A7" s="85" t="s">
        <v>42</v>
      </c>
      <c r="B7" s="68" t="s">
        <v>9</v>
      </c>
      <c r="C7" s="68">
        <v>2025</v>
      </c>
      <c r="D7" s="69">
        <v>500.4</v>
      </c>
      <c r="E7" s="69">
        <v>12.91</v>
      </c>
    </row>
    <row r="8" spans="1:5" x14ac:dyDescent="0.3">
      <c r="A8" s="85" t="s">
        <v>42</v>
      </c>
      <c r="B8" s="68" t="s">
        <v>15</v>
      </c>
      <c r="C8" s="68">
        <v>2025</v>
      </c>
      <c r="D8" s="69">
        <v>224.6</v>
      </c>
      <c r="E8" s="69">
        <v>11.69</v>
      </c>
    </row>
    <row r="9" spans="1:5" x14ac:dyDescent="0.3">
      <c r="A9" s="85" t="s">
        <v>42</v>
      </c>
      <c r="B9" s="68" t="s">
        <v>19</v>
      </c>
      <c r="C9" s="68">
        <v>2025</v>
      </c>
      <c r="D9" s="69">
        <v>723.1</v>
      </c>
      <c r="E9" s="69">
        <v>13.27</v>
      </c>
    </row>
    <row r="10" spans="1:5" x14ac:dyDescent="0.3">
      <c r="A10" s="85" t="s">
        <v>42</v>
      </c>
      <c r="B10" s="68" t="s">
        <v>31</v>
      </c>
      <c r="C10" s="68">
        <v>2025</v>
      </c>
      <c r="D10" s="69">
        <v>122</v>
      </c>
      <c r="E10" s="69">
        <v>11.8</v>
      </c>
    </row>
    <row r="11" spans="1:5" x14ac:dyDescent="0.3">
      <c r="A11" s="85" t="s">
        <v>42</v>
      </c>
      <c r="B11" s="68" t="s">
        <v>23</v>
      </c>
      <c r="C11" s="68">
        <v>2025</v>
      </c>
      <c r="D11" s="69">
        <v>22.437999999999999</v>
      </c>
      <c r="E11" s="69">
        <v>12.5</v>
      </c>
    </row>
    <row r="12" spans="1:5" x14ac:dyDescent="0.3">
      <c r="A12" s="85" t="s">
        <v>42</v>
      </c>
      <c r="B12" s="68" t="s">
        <v>24</v>
      </c>
      <c r="C12" s="68">
        <v>2025</v>
      </c>
      <c r="D12" s="69">
        <v>860.3</v>
      </c>
      <c r="E12" s="69">
        <v>12.21</v>
      </c>
    </row>
    <row r="13" spans="1:5" x14ac:dyDescent="0.3">
      <c r="A13" s="85" t="s">
        <v>42</v>
      </c>
      <c r="B13" s="68" t="s">
        <v>25</v>
      </c>
      <c r="C13" s="68">
        <v>2025</v>
      </c>
      <c r="D13" s="69">
        <v>227.304</v>
      </c>
      <c r="E13" s="69">
        <v>12.63</v>
      </c>
    </row>
    <row r="14" spans="1:5" x14ac:dyDescent="0.3">
      <c r="A14" s="85" t="s">
        <v>42</v>
      </c>
      <c r="B14" s="68" t="s">
        <v>26</v>
      </c>
      <c r="C14" s="68">
        <v>2025</v>
      </c>
      <c r="D14" s="69">
        <v>200</v>
      </c>
      <c r="E14" s="69">
        <v>11.18</v>
      </c>
    </row>
    <row r="15" spans="1:5" x14ac:dyDescent="0.3">
      <c r="A15" s="85" t="s">
        <v>42</v>
      </c>
      <c r="B15" s="68" t="s">
        <v>12</v>
      </c>
      <c r="C15" s="68">
        <v>2025</v>
      </c>
      <c r="D15" s="69">
        <v>1910.4281840000001</v>
      </c>
      <c r="E15" s="69">
        <v>11.47</v>
      </c>
    </row>
    <row r="16" spans="1:5" x14ac:dyDescent="0.3">
      <c r="A16" s="85" t="s">
        <v>42</v>
      </c>
      <c r="B16" s="68" t="s">
        <v>32</v>
      </c>
      <c r="C16" s="68">
        <v>2025</v>
      </c>
      <c r="D16" s="69">
        <v>1616.4469999999999</v>
      </c>
      <c r="E16" s="69">
        <v>12.57</v>
      </c>
    </row>
    <row r="17" spans="1:5" x14ac:dyDescent="0.3">
      <c r="A17" s="85" t="s">
        <v>71</v>
      </c>
      <c r="B17" s="70" t="s">
        <v>4</v>
      </c>
      <c r="C17" s="70">
        <v>2025</v>
      </c>
      <c r="D17" s="71">
        <v>22.219178082191782</v>
      </c>
      <c r="E17" s="71">
        <v>0</v>
      </c>
    </row>
    <row r="18" spans="1:5" x14ac:dyDescent="0.3">
      <c r="A18" s="85" t="s">
        <v>71</v>
      </c>
      <c r="B18" s="70" t="s">
        <v>6</v>
      </c>
      <c r="C18" s="70">
        <v>2025</v>
      </c>
      <c r="D18" s="71">
        <v>2.3013698630136985</v>
      </c>
      <c r="E18" s="71">
        <v>0</v>
      </c>
    </row>
    <row r="19" spans="1:5" x14ac:dyDescent="0.3">
      <c r="A19" s="85" t="s">
        <v>71</v>
      </c>
      <c r="B19" s="70" t="s">
        <v>8</v>
      </c>
      <c r="C19" s="70">
        <v>2025</v>
      </c>
      <c r="D19" s="71">
        <v>6.0547945205479454</v>
      </c>
      <c r="E19" s="71">
        <v>0</v>
      </c>
    </row>
    <row r="20" spans="1:5" x14ac:dyDescent="0.3">
      <c r="A20" s="85" t="s">
        <v>71</v>
      </c>
      <c r="B20" s="70" t="s">
        <v>9</v>
      </c>
      <c r="C20" s="70">
        <v>2025</v>
      </c>
      <c r="D20" s="71">
        <v>77.013698630136986</v>
      </c>
      <c r="E20" s="71">
        <v>0</v>
      </c>
    </row>
    <row r="21" spans="1:5" x14ac:dyDescent="0.3">
      <c r="A21" s="85" t="s">
        <v>71</v>
      </c>
      <c r="B21" s="70" t="s">
        <v>10</v>
      </c>
      <c r="C21" s="70">
        <v>2025</v>
      </c>
      <c r="D21" s="71">
        <v>105.56164383561645</v>
      </c>
      <c r="E21" s="71">
        <v>0</v>
      </c>
    </row>
    <row r="22" spans="1:5" x14ac:dyDescent="0.3">
      <c r="A22" s="85" t="s">
        <v>71</v>
      </c>
      <c r="B22" s="70" t="s">
        <v>12</v>
      </c>
      <c r="C22" s="70">
        <v>2025</v>
      </c>
      <c r="D22" s="71">
        <v>2.3835616438356166</v>
      </c>
      <c r="E22" s="71">
        <v>0</v>
      </c>
    </row>
    <row r="23" spans="1:5" x14ac:dyDescent="0.3">
      <c r="A23" s="85" t="s">
        <v>71</v>
      </c>
      <c r="B23" s="70" t="s">
        <v>16</v>
      </c>
      <c r="C23" s="70">
        <v>2025</v>
      </c>
      <c r="D23" s="71">
        <v>16.164383561643838</v>
      </c>
      <c r="E23" s="71">
        <v>0</v>
      </c>
    </row>
    <row r="24" spans="1:5" x14ac:dyDescent="0.3">
      <c r="A24" s="85" t="s">
        <v>71</v>
      </c>
      <c r="B24" s="70" t="s">
        <v>17</v>
      </c>
      <c r="C24" s="70">
        <v>2025</v>
      </c>
      <c r="D24" s="71">
        <v>23.780821917808218</v>
      </c>
      <c r="E24" s="71">
        <v>0</v>
      </c>
    </row>
    <row r="25" spans="1:5" x14ac:dyDescent="0.3">
      <c r="A25" s="85" t="s">
        <v>71</v>
      </c>
      <c r="B25" s="70" t="s">
        <v>18</v>
      </c>
      <c r="C25" s="70">
        <v>2025</v>
      </c>
      <c r="D25" s="71">
        <v>30.849315068493151</v>
      </c>
      <c r="E25" s="71">
        <v>0</v>
      </c>
    </row>
    <row r="26" spans="1:5" x14ac:dyDescent="0.3">
      <c r="A26" s="85" t="s">
        <v>71</v>
      </c>
      <c r="B26" s="70" t="s">
        <v>19</v>
      </c>
      <c r="C26" s="70">
        <v>2025</v>
      </c>
      <c r="D26" s="71">
        <v>138.27397260273972</v>
      </c>
      <c r="E26" s="71">
        <v>0</v>
      </c>
    </row>
    <row r="27" spans="1:5" x14ac:dyDescent="0.3">
      <c r="A27" s="85" t="s">
        <v>71</v>
      </c>
      <c r="B27" s="70" t="s">
        <v>24</v>
      </c>
      <c r="C27" s="70">
        <v>2025</v>
      </c>
      <c r="D27" s="71">
        <v>284.54794520547944</v>
      </c>
      <c r="E27" s="71">
        <v>0</v>
      </c>
    </row>
    <row r="28" spans="1:5" x14ac:dyDescent="0.3">
      <c r="A28" s="85" t="s">
        <v>71</v>
      </c>
      <c r="B28" s="70" t="s">
        <v>25</v>
      </c>
      <c r="C28" s="70">
        <v>2025</v>
      </c>
      <c r="D28" s="71">
        <v>104.10958904109589</v>
      </c>
      <c r="E28" s="71">
        <v>0</v>
      </c>
    </row>
    <row r="29" spans="1:5" x14ac:dyDescent="0.3">
      <c r="A29" s="85" t="s">
        <v>71</v>
      </c>
      <c r="B29" s="70" t="s">
        <v>27</v>
      </c>
      <c r="C29" s="70">
        <v>2025</v>
      </c>
      <c r="D29" s="71">
        <v>393.72602739726034</v>
      </c>
      <c r="E29" s="71">
        <v>0</v>
      </c>
    </row>
    <row r="30" spans="1:5" x14ac:dyDescent="0.3">
      <c r="A30" s="85" t="s">
        <v>71</v>
      </c>
      <c r="B30" s="70" t="s">
        <v>29</v>
      </c>
      <c r="C30" s="70">
        <v>2025</v>
      </c>
      <c r="D30" s="71">
        <v>0.13698630136986303</v>
      </c>
      <c r="E30" s="71">
        <v>0</v>
      </c>
    </row>
    <row r="31" spans="1:5" x14ac:dyDescent="0.3">
      <c r="A31" s="85" t="s">
        <v>71</v>
      </c>
      <c r="B31" s="70" t="s">
        <v>30</v>
      </c>
      <c r="C31" s="70">
        <v>2025</v>
      </c>
      <c r="D31" s="71">
        <v>2.9589041095890414</v>
      </c>
      <c r="E31" s="71">
        <v>0</v>
      </c>
    </row>
    <row r="32" spans="1:5" x14ac:dyDescent="0.3">
      <c r="A32" s="85" t="s">
        <v>86</v>
      </c>
      <c r="B32" s="70" t="s">
        <v>19</v>
      </c>
      <c r="C32" s="70">
        <v>2025</v>
      </c>
      <c r="D32" s="69">
        <v>1148.7901039999999</v>
      </c>
      <c r="E32" s="69">
        <v>3.31</v>
      </c>
    </row>
    <row r="33" spans="1:5" x14ac:dyDescent="0.3">
      <c r="A33" s="85" t="s">
        <v>87</v>
      </c>
      <c r="B33" s="70" t="s">
        <v>19</v>
      </c>
      <c r="C33" s="70">
        <v>2025</v>
      </c>
      <c r="D33" s="69">
        <v>492.65922</v>
      </c>
      <c r="E33" s="69">
        <v>3.97</v>
      </c>
    </row>
    <row r="34" spans="1:5" x14ac:dyDescent="0.3">
      <c r="A34" s="85" t="s">
        <v>86</v>
      </c>
      <c r="B34" s="70" t="s">
        <v>12</v>
      </c>
      <c r="C34" s="70">
        <v>2025</v>
      </c>
      <c r="D34" s="69">
        <v>337.12347799999998</v>
      </c>
      <c r="E34" s="69">
        <v>4.63</v>
      </c>
    </row>
    <row r="35" spans="1:5" x14ac:dyDescent="0.3">
      <c r="A35" s="85" t="s">
        <v>88</v>
      </c>
      <c r="B35" s="70" t="s">
        <v>12</v>
      </c>
      <c r="C35" s="70">
        <v>2025</v>
      </c>
      <c r="D35" s="69">
        <v>442.84859299999999</v>
      </c>
      <c r="E35" s="69">
        <v>5</v>
      </c>
    </row>
    <row r="36" spans="1:5" x14ac:dyDescent="0.3">
      <c r="A36" s="85" t="s">
        <v>89</v>
      </c>
      <c r="B36" s="70" t="s">
        <v>25</v>
      </c>
      <c r="C36" s="70">
        <v>2025</v>
      </c>
      <c r="D36" s="69">
        <v>277.57735200000002</v>
      </c>
      <c r="E36" s="69">
        <v>1.89</v>
      </c>
    </row>
    <row r="37" spans="1:5" x14ac:dyDescent="0.3">
      <c r="A37" s="85" t="s">
        <v>90</v>
      </c>
      <c r="B37" s="68" t="s">
        <v>44</v>
      </c>
      <c r="C37" s="68">
        <v>2025</v>
      </c>
      <c r="D37" s="68">
        <v>950</v>
      </c>
      <c r="E37" s="68">
        <v>9.83</v>
      </c>
    </row>
    <row r="38" spans="1:5" x14ac:dyDescent="0.3">
      <c r="A38" s="67" t="s">
        <v>126</v>
      </c>
      <c r="B38" s="72" t="s">
        <v>4</v>
      </c>
      <c r="C38" s="72">
        <v>2025</v>
      </c>
      <c r="D38" s="73">
        <v>0.1171171171171171</v>
      </c>
      <c r="E38"/>
    </row>
    <row r="39" spans="1:5" x14ac:dyDescent="0.3">
      <c r="A39" s="67" t="s">
        <v>126</v>
      </c>
      <c r="B39" s="72" t="s">
        <v>7</v>
      </c>
      <c r="C39" s="72">
        <v>2025</v>
      </c>
      <c r="D39" s="73">
        <v>0.16216216216216217</v>
      </c>
      <c r="E39"/>
    </row>
    <row r="40" spans="1:5" x14ac:dyDescent="0.3">
      <c r="A40" s="67" t="s">
        <v>126</v>
      </c>
      <c r="B40" s="72" t="s">
        <v>8</v>
      </c>
      <c r="C40" s="72">
        <v>2025</v>
      </c>
      <c r="D40" s="73">
        <v>0.96126126126126121</v>
      </c>
      <c r="E40"/>
    </row>
    <row r="41" spans="1:5" x14ac:dyDescent="0.3">
      <c r="A41" s="67" t="s">
        <v>126</v>
      </c>
      <c r="B41" s="72" t="s">
        <v>9</v>
      </c>
      <c r="C41" s="72">
        <v>2025</v>
      </c>
      <c r="D41" s="73">
        <v>9.0090090090090076</v>
      </c>
      <c r="E41"/>
    </row>
    <row r="42" spans="1:5" x14ac:dyDescent="0.3">
      <c r="A42" s="67" t="s">
        <v>126</v>
      </c>
      <c r="B42" s="72" t="s">
        <v>10</v>
      </c>
      <c r="C42" s="72">
        <v>2025</v>
      </c>
      <c r="D42" s="73">
        <v>7.0461857961857968</v>
      </c>
      <c r="E42"/>
    </row>
    <row r="43" spans="1:5" x14ac:dyDescent="0.3">
      <c r="A43" s="67" t="s">
        <v>126</v>
      </c>
      <c r="B43" s="72" t="s">
        <v>11</v>
      </c>
      <c r="C43" s="72">
        <v>2025</v>
      </c>
      <c r="D43" s="73">
        <v>0.13513513513513514</v>
      </c>
      <c r="E43"/>
    </row>
    <row r="44" spans="1:5" x14ac:dyDescent="0.3">
      <c r="A44" s="67" t="s">
        <v>126</v>
      </c>
      <c r="B44" s="72" t="s">
        <v>12</v>
      </c>
      <c r="C44" s="72">
        <v>2025</v>
      </c>
      <c r="D44" s="73">
        <v>2.3108108108108105</v>
      </c>
      <c r="E44"/>
    </row>
    <row r="45" spans="1:5" x14ac:dyDescent="0.3">
      <c r="A45" s="67" t="s">
        <v>126</v>
      </c>
      <c r="B45" s="72" t="s">
        <v>13</v>
      </c>
      <c r="C45" s="72">
        <v>2025</v>
      </c>
      <c r="D45" s="73">
        <v>0.90090090090090091</v>
      </c>
      <c r="E45"/>
    </row>
    <row r="46" spans="1:5" x14ac:dyDescent="0.3">
      <c r="A46" s="67" t="s">
        <v>126</v>
      </c>
      <c r="B46" s="72" t="s">
        <v>14</v>
      </c>
      <c r="C46" s="72">
        <v>2025</v>
      </c>
      <c r="D46" s="73">
        <v>20.720720720720717</v>
      </c>
      <c r="E46"/>
    </row>
    <row r="47" spans="1:5" x14ac:dyDescent="0.3">
      <c r="A47" s="67" t="s">
        <v>126</v>
      </c>
      <c r="B47" s="72" t="s">
        <v>17</v>
      </c>
      <c r="C47" s="72">
        <v>2025</v>
      </c>
      <c r="D47" s="73">
        <v>2.7027027027027025E-2</v>
      </c>
      <c r="E47"/>
    </row>
    <row r="48" spans="1:5" x14ac:dyDescent="0.3">
      <c r="A48" s="67" t="s">
        <v>126</v>
      </c>
      <c r="B48" s="72" t="s">
        <v>18</v>
      </c>
      <c r="C48" s="72">
        <v>2025</v>
      </c>
      <c r="D48" s="73">
        <v>0.36563838069169935</v>
      </c>
      <c r="E48"/>
    </row>
    <row r="49" spans="1:5" x14ac:dyDescent="0.3">
      <c r="A49" s="67" t="s">
        <v>126</v>
      </c>
      <c r="B49" s="72" t="s">
        <v>19</v>
      </c>
      <c r="C49" s="72">
        <v>2025</v>
      </c>
      <c r="D49" s="73">
        <v>5.9313000000000002</v>
      </c>
      <c r="E49"/>
    </row>
    <row r="50" spans="1:5" x14ac:dyDescent="0.3">
      <c r="A50" s="67" t="s">
        <v>126</v>
      </c>
      <c r="B50" s="72" t="s">
        <v>20</v>
      </c>
      <c r="C50" s="72">
        <v>2025</v>
      </c>
      <c r="D50" s="73">
        <v>0.32432432432432434</v>
      </c>
      <c r="E50"/>
    </row>
    <row r="51" spans="1:5" x14ac:dyDescent="0.3">
      <c r="A51" s="67" t="s">
        <v>126</v>
      </c>
      <c r="B51" s="72" t="s">
        <v>21</v>
      </c>
      <c r="C51" s="72">
        <v>2025</v>
      </c>
      <c r="D51" s="73">
        <v>4.5045045045045043E-2</v>
      </c>
      <c r="E51"/>
    </row>
    <row r="52" spans="1:5" x14ac:dyDescent="0.3">
      <c r="A52" s="67" t="s">
        <v>126</v>
      </c>
      <c r="B52" s="72" t="s">
        <v>24</v>
      </c>
      <c r="C52" s="72">
        <v>2025</v>
      </c>
      <c r="D52" s="73">
        <v>8.5189968679350248</v>
      </c>
      <c r="E52"/>
    </row>
    <row r="53" spans="1:5" x14ac:dyDescent="0.3">
      <c r="A53" s="67" t="s">
        <v>126</v>
      </c>
      <c r="B53" s="72" t="s">
        <v>28</v>
      </c>
      <c r="C53" s="72">
        <v>2025</v>
      </c>
      <c r="D53" s="73">
        <v>0.40871612199770319</v>
      </c>
      <c r="E53"/>
    </row>
    <row r="54" spans="1:5" x14ac:dyDescent="0.3">
      <c r="A54" s="67" t="s">
        <v>126</v>
      </c>
      <c r="B54" s="72" t="s">
        <v>30</v>
      </c>
      <c r="C54" s="72">
        <v>2025</v>
      </c>
      <c r="D54" s="73">
        <v>1.1675675675675674</v>
      </c>
      <c r="E54"/>
    </row>
    <row r="55" spans="1:5" x14ac:dyDescent="0.3">
      <c r="A55" s="67" t="s">
        <v>63</v>
      </c>
      <c r="B55" s="72" t="s">
        <v>8</v>
      </c>
      <c r="C55" s="72">
        <v>2025</v>
      </c>
      <c r="D55" s="73">
        <v>9.6864864864864876E-3</v>
      </c>
      <c r="E55"/>
    </row>
    <row r="56" spans="1:5" x14ac:dyDescent="0.3">
      <c r="A56" s="67" t="s">
        <v>63</v>
      </c>
      <c r="B56" s="72" t="s">
        <v>9</v>
      </c>
      <c r="C56" s="72">
        <v>2025</v>
      </c>
      <c r="D56" s="73">
        <v>0.25558198198198201</v>
      </c>
      <c r="E56"/>
    </row>
  </sheetData>
  <autoFilter ref="B1:B56" xr:uid="{D7C1D68E-88B4-452A-944F-0D4F4ED3D1A3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7E2CD-9BBA-4E75-AC95-8EB2FE76FAEB}">
  <sheetPr codeName="Sheet2"/>
  <dimension ref="A1:J69"/>
  <sheetViews>
    <sheetView workbookViewId="0">
      <selection sqref="A1:H1"/>
    </sheetView>
  </sheetViews>
  <sheetFormatPr defaultRowHeight="14.4" x14ac:dyDescent="0.3"/>
  <cols>
    <col min="1" max="1" width="20.88671875" style="43" customWidth="1"/>
    <col min="2" max="2" width="18.21875" style="43" bestFit="1" customWidth="1"/>
    <col min="3" max="3" width="8.21875" style="43" customWidth="1"/>
    <col min="4" max="4" width="16.21875" style="43" customWidth="1"/>
    <col min="5" max="5" width="23.21875" style="68" customWidth="1"/>
    <col min="6" max="6" width="18.109375" style="43" customWidth="1"/>
    <col min="7" max="7" width="26.5546875" style="43" customWidth="1"/>
    <col min="8" max="8" width="23.77734375" style="43" customWidth="1"/>
    <col min="9" max="9" width="8.77734375" customWidth="1"/>
  </cols>
  <sheetData>
    <row r="1" spans="1:8" x14ac:dyDescent="0.3">
      <c r="A1" s="85" t="s">
        <v>43</v>
      </c>
      <c r="B1" s="85" t="s">
        <v>2</v>
      </c>
      <c r="C1" s="85" t="s">
        <v>0</v>
      </c>
      <c r="D1" s="85" t="s">
        <v>33</v>
      </c>
      <c r="E1" s="85" t="s">
        <v>36</v>
      </c>
      <c r="F1" s="85" t="s">
        <v>37</v>
      </c>
      <c r="G1" s="85" t="s">
        <v>38</v>
      </c>
      <c r="H1" s="85" t="s">
        <v>39</v>
      </c>
    </row>
    <row r="2" spans="1:8" x14ac:dyDescent="0.3">
      <c r="A2" s="84" t="s">
        <v>91</v>
      </c>
      <c r="B2" s="43" t="s">
        <v>4</v>
      </c>
      <c r="C2" s="43">
        <v>2025</v>
      </c>
      <c r="D2" s="43">
        <v>98.97</v>
      </c>
      <c r="E2" s="43">
        <v>862.16</v>
      </c>
      <c r="F2" s="43">
        <v>1081.96</v>
      </c>
      <c r="G2" s="43">
        <v>1</v>
      </c>
      <c r="H2" s="43">
        <v>1</v>
      </c>
    </row>
    <row r="3" spans="1:8" x14ac:dyDescent="0.3">
      <c r="A3" s="76" t="s">
        <v>91</v>
      </c>
      <c r="B3" s="43" t="s">
        <v>5</v>
      </c>
      <c r="C3" s="43">
        <v>2025</v>
      </c>
      <c r="D3" s="43">
        <v>8.83</v>
      </c>
      <c r="E3" s="43">
        <v>88.14</v>
      </c>
      <c r="F3" s="43">
        <v>169.66</v>
      </c>
      <c r="G3" s="43">
        <v>3</v>
      </c>
      <c r="H3" s="43">
        <v>3</v>
      </c>
    </row>
    <row r="4" spans="1:8" x14ac:dyDescent="0.3">
      <c r="A4" s="76" t="s">
        <v>91</v>
      </c>
      <c r="B4" s="43" t="s">
        <v>6</v>
      </c>
      <c r="C4" s="43">
        <v>2025</v>
      </c>
      <c r="D4" s="43">
        <v>5.91</v>
      </c>
      <c r="E4" s="43">
        <v>41.38</v>
      </c>
      <c r="F4" s="43">
        <v>41.06</v>
      </c>
      <c r="G4" s="43">
        <v>1</v>
      </c>
      <c r="H4" s="43">
        <v>1</v>
      </c>
    </row>
    <row r="5" spans="1:8" x14ac:dyDescent="0.3">
      <c r="A5" s="76" t="s">
        <v>91</v>
      </c>
      <c r="B5" s="43" t="s">
        <v>16</v>
      </c>
      <c r="C5" s="43">
        <v>2025</v>
      </c>
      <c r="D5" s="43">
        <v>4.7699999999999996</v>
      </c>
      <c r="E5" s="43">
        <v>43.87</v>
      </c>
      <c r="F5" s="43">
        <v>51.57</v>
      </c>
      <c r="G5" s="43">
        <v>1</v>
      </c>
      <c r="H5" s="43">
        <v>1</v>
      </c>
    </row>
    <row r="6" spans="1:8" x14ac:dyDescent="0.3">
      <c r="A6" s="76" t="s">
        <v>91</v>
      </c>
      <c r="B6" s="43" t="s">
        <v>8</v>
      </c>
      <c r="C6" s="43">
        <v>2025</v>
      </c>
      <c r="D6" s="43">
        <v>44.62</v>
      </c>
      <c r="E6" s="43">
        <v>505.85</v>
      </c>
      <c r="F6" s="43">
        <v>697.67</v>
      </c>
      <c r="G6" s="43">
        <v>1</v>
      </c>
      <c r="H6" s="43">
        <v>1</v>
      </c>
    </row>
    <row r="7" spans="1:8" x14ac:dyDescent="0.3">
      <c r="A7" s="76" t="s">
        <v>91</v>
      </c>
      <c r="B7" s="43" t="s">
        <v>10</v>
      </c>
      <c r="C7" s="43">
        <v>2025</v>
      </c>
      <c r="D7" s="43">
        <v>9.82</v>
      </c>
      <c r="E7" s="43">
        <v>90.72</v>
      </c>
      <c r="F7" s="43">
        <v>180</v>
      </c>
      <c r="G7" s="43">
        <v>1</v>
      </c>
      <c r="H7" s="43">
        <v>1</v>
      </c>
    </row>
    <row r="8" spans="1:8" x14ac:dyDescent="0.3">
      <c r="A8" s="76" t="s">
        <v>91</v>
      </c>
      <c r="B8" s="43" t="s">
        <v>14</v>
      </c>
      <c r="C8" s="43">
        <v>2025</v>
      </c>
      <c r="D8" s="43">
        <v>128.86000000000001</v>
      </c>
      <c r="E8" s="43">
        <v>1126.21</v>
      </c>
      <c r="F8" s="43">
        <v>2523.91</v>
      </c>
      <c r="G8" s="43">
        <v>1</v>
      </c>
      <c r="H8" s="43">
        <v>1</v>
      </c>
    </row>
    <row r="9" spans="1:8" x14ac:dyDescent="0.3">
      <c r="A9" s="76" t="s">
        <v>91</v>
      </c>
      <c r="B9" s="43" t="s">
        <v>9</v>
      </c>
      <c r="C9" s="43">
        <v>2025</v>
      </c>
      <c r="D9" s="43">
        <v>247.44</v>
      </c>
      <c r="E9" s="43">
        <v>4057.44</v>
      </c>
      <c r="F9" s="43">
        <v>6802.42</v>
      </c>
      <c r="G9" s="43">
        <v>3</v>
      </c>
      <c r="H9" s="43">
        <v>3</v>
      </c>
    </row>
    <row r="10" spans="1:8" x14ac:dyDescent="0.3">
      <c r="A10" s="76" t="s">
        <v>91</v>
      </c>
      <c r="B10" s="43" t="s">
        <v>17</v>
      </c>
      <c r="C10" s="43">
        <v>2025</v>
      </c>
      <c r="D10" s="43">
        <v>67.709999999999994</v>
      </c>
      <c r="E10" s="43">
        <v>455.22</v>
      </c>
      <c r="F10" s="43">
        <v>798.9</v>
      </c>
      <c r="G10" s="43">
        <v>1</v>
      </c>
      <c r="H10" s="43">
        <v>1</v>
      </c>
    </row>
    <row r="11" spans="1:8" x14ac:dyDescent="0.3">
      <c r="A11" s="76" t="s">
        <v>91</v>
      </c>
      <c r="B11" s="43" t="s">
        <v>19</v>
      </c>
      <c r="C11" s="43">
        <v>2025</v>
      </c>
      <c r="D11" s="43">
        <v>200.08</v>
      </c>
      <c r="E11" s="43">
        <v>1701.74</v>
      </c>
      <c r="F11" s="43">
        <v>2916.73</v>
      </c>
      <c r="G11" s="43">
        <v>1</v>
      </c>
      <c r="H11" s="43">
        <v>1</v>
      </c>
    </row>
    <row r="12" spans="1:8" x14ac:dyDescent="0.3">
      <c r="A12" s="76" t="s">
        <v>91</v>
      </c>
      <c r="B12" s="43" t="s">
        <v>22</v>
      </c>
      <c r="C12" s="43">
        <v>2025</v>
      </c>
      <c r="D12" s="43">
        <v>24.7</v>
      </c>
      <c r="E12" s="43">
        <v>128</v>
      </c>
      <c r="F12" s="43">
        <v>74</v>
      </c>
      <c r="G12" s="43">
        <v>3</v>
      </c>
      <c r="H12" s="43">
        <v>3</v>
      </c>
    </row>
    <row r="13" spans="1:8" x14ac:dyDescent="0.3">
      <c r="A13" s="76" t="s">
        <v>91</v>
      </c>
      <c r="B13" s="43" t="s">
        <v>24</v>
      </c>
      <c r="C13" s="43">
        <v>2025</v>
      </c>
      <c r="D13" s="43">
        <v>144.03</v>
      </c>
      <c r="E13" s="43">
        <v>1479.33</v>
      </c>
      <c r="F13" s="43">
        <v>2726.67</v>
      </c>
      <c r="G13" s="43">
        <v>1.5</v>
      </c>
      <c r="H13" s="43">
        <v>1.4</v>
      </c>
    </row>
    <row r="14" spans="1:8" x14ac:dyDescent="0.3">
      <c r="A14" s="76" t="s">
        <v>91</v>
      </c>
      <c r="B14" s="43" t="s">
        <v>25</v>
      </c>
      <c r="C14" s="43">
        <v>2025</v>
      </c>
      <c r="D14" s="43">
        <v>37.49</v>
      </c>
      <c r="E14" s="43">
        <v>359.01</v>
      </c>
      <c r="F14" s="43">
        <v>595.30999999999995</v>
      </c>
      <c r="G14" s="43">
        <v>1.7</v>
      </c>
      <c r="H14" s="43">
        <v>2</v>
      </c>
    </row>
    <row r="15" spans="1:8" x14ac:dyDescent="0.3">
      <c r="A15" s="76" t="s">
        <v>91</v>
      </c>
      <c r="B15" s="43" t="s">
        <v>26</v>
      </c>
      <c r="C15" s="43">
        <v>2025</v>
      </c>
      <c r="D15" s="43">
        <v>3.57</v>
      </c>
      <c r="E15" s="43">
        <v>24</v>
      </c>
      <c r="F15" s="43">
        <v>85.68</v>
      </c>
      <c r="G15" s="43">
        <v>3</v>
      </c>
      <c r="H15" s="43">
        <v>3</v>
      </c>
    </row>
    <row r="16" spans="1:8" x14ac:dyDescent="0.3">
      <c r="A16" s="76" t="s">
        <v>91</v>
      </c>
      <c r="B16" s="43" t="s">
        <v>27</v>
      </c>
      <c r="C16" s="43">
        <v>2025</v>
      </c>
      <c r="D16" s="43">
        <v>33.86</v>
      </c>
      <c r="E16" s="43">
        <v>262.75</v>
      </c>
      <c r="F16" s="43">
        <v>312.44</v>
      </c>
      <c r="G16" s="43">
        <v>1</v>
      </c>
      <c r="H16" s="43">
        <v>1</v>
      </c>
    </row>
    <row r="17" spans="1:10" x14ac:dyDescent="0.3">
      <c r="A17" s="76" t="s">
        <v>91</v>
      </c>
      <c r="B17" s="43" t="s">
        <v>30</v>
      </c>
      <c r="C17" s="43">
        <v>2025</v>
      </c>
      <c r="D17" s="43">
        <v>36.479999999999997</v>
      </c>
      <c r="E17" s="43">
        <v>410.96</v>
      </c>
      <c r="F17" s="43">
        <v>491.56</v>
      </c>
      <c r="G17" s="43">
        <v>1</v>
      </c>
      <c r="H17" s="43">
        <v>1</v>
      </c>
    </row>
    <row r="18" spans="1:10" x14ac:dyDescent="0.3">
      <c r="A18" s="76" t="s">
        <v>91</v>
      </c>
      <c r="B18" s="43" t="s">
        <v>12</v>
      </c>
      <c r="C18" s="43">
        <v>2025</v>
      </c>
      <c r="D18" s="43">
        <v>35.83</v>
      </c>
      <c r="E18" s="43">
        <v>143.34</v>
      </c>
      <c r="F18" s="43">
        <v>208.96</v>
      </c>
      <c r="G18" s="43">
        <v>1</v>
      </c>
      <c r="H18" s="43">
        <v>1</v>
      </c>
    </row>
    <row r="19" spans="1:10" x14ac:dyDescent="0.3">
      <c r="A19" s="76" t="s">
        <v>91</v>
      </c>
      <c r="B19" s="43" t="s">
        <v>28</v>
      </c>
      <c r="C19" s="43">
        <v>2025</v>
      </c>
      <c r="D19" s="43">
        <v>0.1</v>
      </c>
      <c r="E19" s="43">
        <v>6.51</v>
      </c>
      <c r="F19" s="43">
        <v>8.61</v>
      </c>
      <c r="G19" s="43">
        <v>3</v>
      </c>
      <c r="H19" s="43">
        <v>3</v>
      </c>
    </row>
    <row r="20" spans="1:10" x14ac:dyDescent="0.3">
      <c r="A20" s="76" t="s">
        <v>91</v>
      </c>
      <c r="B20" s="43" t="s">
        <v>32</v>
      </c>
      <c r="C20" s="43">
        <v>2025</v>
      </c>
      <c r="D20" s="43">
        <v>9.86</v>
      </c>
      <c r="E20" s="43">
        <v>543.92999999999995</v>
      </c>
      <c r="F20" s="43">
        <v>487.78</v>
      </c>
      <c r="G20" s="43">
        <v>2.7</v>
      </c>
      <c r="H20" s="43">
        <v>2.7</v>
      </c>
    </row>
    <row r="21" spans="1:10" x14ac:dyDescent="0.3">
      <c r="A21" s="76" t="s">
        <v>91</v>
      </c>
      <c r="B21" s="43" t="s">
        <v>35</v>
      </c>
      <c r="C21" s="43">
        <v>2025</v>
      </c>
      <c r="D21" s="43">
        <v>319.12</v>
      </c>
      <c r="E21" s="43">
        <v>2387.1</v>
      </c>
      <c r="F21" s="43">
        <v>1181</v>
      </c>
      <c r="G21" s="43">
        <v>1</v>
      </c>
      <c r="H21" s="43">
        <v>1</v>
      </c>
    </row>
    <row r="25" spans="1:10" x14ac:dyDescent="0.3">
      <c r="E25" s="43"/>
      <c r="I25" s="1"/>
      <c r="J25" s="2"/>
    </row>
    <row r="26" spans="1:10" x14ac:dyDescent="0.3">
      <c r="E26" s="43"/>
      <c r="J26" s="3"/>
    </row>
    <row r="27" spans="1:10" x14ac:dyDescent="0.3">
      <c r="E27" s="43"/>
      <c r="J27" s="3"/>
    </row>
    <row r="28" spans="1:10" x14ac:dyDescent="0.3">
      <c r="E28" s="43"/>
      <c r="J28" s="3"/>
    </row>
    <row r="29" spans="1:10" x14ac:dyDescent="0.3">
      <c r="E29" s="43"/>
      <c r="J29" s="3"/>
    </row>
    <row r="30" spans="1:10" x14ac:dyDescent="0.3">
      <c r="E30" s="43"/>
      <c r="J30" s="3"/>
    </row>
    <row r="31" spans="1:10" x14ac:dyDescent="0.3">
      <c r="E31" s="43"/>
      <c r="J31" s="3"/>
    </row>
    <row r="32" spans="1:10" x14ac:dyDescent="0.3">
      <c r="E32" s="43"/>
      <c r="J32" s="3"/>
    </row>
    <row r="33" spans="5:10" x14ac:dyDescent="0.3">
      <c r="E33" s="43"/>
      <c r="J33" s="3"/>
    </row>
    <row r="34" spans="5:10" x14ac:dyDescent="0.3">
      <c r="E34" s="43"/>
      <c r="J34" s="3"/>
    </row>
    <row r="35" spans="5:10" x14ac:dyDescent="0.3">
      <c r="E35" s="43"/>
      <c r="J35" s="3"/>
    </row>
    <row r="36" spans="5:10" x14ac:dyDescent="0.3">
      <c r="E36" s="43"/>
      <c r="J36" s="3"/>
    </row>
    <row r="37" spans="5:10" x14ac:dyDescent="0.3">
      <c r="E37" s="43"/>
      <c r="J37" s="3"/>
    </row>
    <row r="38" spans="5:10" x14ac:dyDescent="0.3">
      <c r="E38" s="43"/>
      <c r="J38" s="3"/>
    </row>
    <row r="39" spans="5:10" x14ac:dyDescent="0.3">
      <c r="E39" s="43"/>
      <c r="J39" s="3"/>
    </row>
    <row r="40" spans="5:10" x14ac:dyDescent="0.3">
      <c r="E40" s="43"/>
      <c r="J40" s="3"/>
    </row>
    <row r="41" spans="5:10" x14ac:dyDescent="0.3">
      <c r="E41" s="43"/>
      <c r="J41" s="3"/>
    </row>
    <row r="42" spans="5:10" x14ac:dyDescent="0.3">
      <c r="E42" s="43"/>
      <c r="J42" s="3"/>
    </row>
    <row r="43" spans="5:10" x14ac:dyDescent="0.3">
      <c r="E43" s="43"/>
      <c r="J43" s="3"/>
    </row>
    <row r="44" spans="5:10" x14ac:dyDescent="0.3">
      <c r="E44" s="43"/>
      <c r="J44" s="3"/>
    </row>
    <row r="45" spans="5:10" x14ac:dyDescent="0.3">
      <c r="E45" s="43"/>
      <c r="J45" s="3"/>
    </row>
    <row r="46" spans="5:10" x14ac:dyDescent="0.3">
      <c r="E46" s="43"/>
      <c r="J46" s="3"/>
    </row>
    <row r="47" spans="5:10" x14ac:dyDescent="0.3">
      <c r="E47" s="43"/>
      <c r="J47" s="3"/>
    </row>
    <row r="48" spans="5:10" x14ac:dyDescent="0.3">
      <c r="E48" s="43"/>
      <c r="J48" s="3"/>
    </row>
    <row r="49" spans="5:10" x14ac:dyDescent="0.3">
      <c r="E49" s="43"/>
      <c r="J49" s="3"/>
    </row>
    <row r="50" spans="5:10" x14ac:dyDescent="0.3">
      <c r="E50" s="43"/>
      <c r="J50" s="3"/>
    </row>
    <row r="51" spans="5:10" x14ac:dyDescent="0.3">
      <c r="E51" s="43"/>
      <c r="J51" s="3"/>
    </row>
    <row r="52" spans="5:10" x14ac:dyDescent="0.3">
      <c r="E52" s="43"/>
      <c r="J52" s="3"/>
    </row>
    <row r="53" spans="5:10" x14ac:dyDescent="0.3">
      <c r="E53" s="43"/>
      <c r="J53" s="3"/>
    </row>
    <row r="54" spans="5:10" x14ac:dyDescent="0.3">
      <c r="E54" s="43"/>
      <c r="J54" s="3"/>
    </row>
    <row r="55" spans="5:10" x14ac:dyDescent="0.3">
      <c r="E55" s="43"/>
      <c r="J55" s="3"/>
    </row>
    <row r="56" spans="5:10" x14ac:dyDescent="0.3">
      <c r="E56" s="43"/>
      <c r="J56" s="3"/>
    </row>
    <row r="57" spans="5:10" x14ac:dyDescent="0.3">
      <c r="E57" s="43"/>
      <c r="J57" s="3"/>
    </row>
    <row r="58" spans="5:10" x14ac:dyDescent="0.3">
      <c r="E58" s="43"/>
      <c r="J58" s="3"/>
    </row>
    <row r="59" spans="5:10" x14ac:dyDescent="0.3">
      <c r="E59" s="43"/>
      <c r="J59" s="3"/>
    </row>
    <row r="60" spans="5:10" x14ac:dyDescent="0.3">
      <c r="E60" s="43"/>
      <c r="J60" s="3"/>
    </row>
    <row r="61" spans="5:10" x14ac:dyDescent="0.3">
      <c r="E61" s="43"/>
      <c r="J61" s="3"/>
    </row>
    <row r="62" spans="5:10" x14ac:dyDescent="0.3">
      <c r="E62" s="43"/>
      <c r="J62" s="3"/>
    </row>
    <row r="63" spans="5:10" x14ac:dyDescent="0.3">
      <c r="E63" s="43"/>
      <c r="J63" s="3"/>
    </row>
    <row r="64" spans="5:10" x14ac:dyDescent="0.3">
      <c r="E64" s="43"/>
      <c r="J64" s="3"/>
    </row>
    <row r="65" spans="5:10" x14ac:dyDescent="0.3">
      <c r="E65" s="43"/>
      <c r="J65" s="3"/>
    </row>
    <row r="66" spans="5:10" x14ac:dyDescent="0.3">
      <c r="E66" s="43"/>
      <c r="J66" s="3"/>
    </row>
    <row r="67" spans="5:10" x14ac:dyDescent="0.3">
      <c r="E67" s="43"/>
      <c r="J67" s="3"/>
    </row>
    <row r="68" spans="5:10" x14ac:dyDescent="0.3">
      <c r="E68" s="43"/>
      <c r="J68" s="3"/>
    </row>
    <row r="69" spans="5:10" x14ac:dyDescent="0.3">
      <c r="E69" s="43"/>
      <c r="J69" s="3"/>
    </row>
  </sheetData>
  <autoFilter ref="A1:E65" xr:uid="{5097E2CD-9BBA-4E75-AC95-8EB2FE76FAEB}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D5C98-389A-4BFE-98D8-F6DE65D7DD17}">
  <sheetPr codeName="Sheet3"/>
  <dimension ref="A1:E98"/>
  <sheetViews>
    <sheetView zoomScaleNormal="100" workbookViewId="0">
      <selection activeCell="B7" sqref="B7"/>
    </sheetView>
  </sheetViews>
  <sheetFormatPr defaultRowHeight="14.4" x14ac:dyDescent="0.3"/>
  <cols>
    <col min="1" max="1" width="22.21875" style="93" bestFit="1" customWidth="1"/>
    <col min="2" max="2" width="21.21875" style="93" customWidth="1"/>
    <col min="3" max="3" width="8.77734375" style="43"/>
    <col min="4" max="4" width="17.77734375" style="43" customWidth="1"/>
    <col min="5" max="5" width="25.77734375" style="43" customWidth="1"/>
    <col min="8" max="8" width="14.21875" customWidth="1"/>
  </cols>
  <sheetData>
    <row r="1" spans="1:5" s="1" customFormat="1" x14ac:dyDescent="0.3">
      <c r="A1" s="75" t="s">
        <v>3</v>
      </c>
      <c r="B1" s="75" t="s">
        <v>1</v>
      </c>
      <c r="C1" s="75" t="s">
        <v>0</v>
      </c>
      <c r="D1" s="83" t="s">
        <v>41</v>
      </c>
      <c r="E1" s="83" t="s">
        <v>40</v>
      </c>
    </row>
    <row r="2" spans="1:5" x14ac:dyDescent="0.3">
      <c r="A2" s="84" t="s">
        <v>73</v>
      </c>
      <c r="B2" s="84" t="s">
        <v>15</v>
      </c>
      <c r="C2" s="43">
        <v>2025</v>
      </c>
      <c r="D2" s="77">
        <v>40.36</v>
      </c>
      <c r="E2" s="77">
        <v>1.56</v>
      </c>
    </row>
    <row r="3" spans="1:5" x14ac:dyDescent="0.3">
      <c r="A3" s="76" t="s">
        <v>73</v>
      </c>
      <c r="B3" s="76" t="s">
        <v>19</v>
      </c>
      <c r="C3" s="43">
        <v>2025</v>
      </c>
      <c r="D3" s="77">
        <v>494.10091</v>
      </c>
      <c r="E3" s="77">
        <v>2.0499999999999998</v>
      </c>
    </row>
    <row r="4" spans="1:5" x14ac:dyDescent="0.3">
      <c r="A4" s="76" t="s">
        <v>4</v>
      </c>
      <c r="B4" s="76" t="s">
        <v>9</v>
      </c>
      <c r="C4" s="43">
        <v>2025</v>
      </c>
      <c r="D4" s="77">
        <v>334.49</v>
      </c>
      <c r="E4" s="77">
        <v>1.76</v>
      </c>
    </row>
    <row r="5" spans="1:5" x14ac:dyDescent="0.3">
      <c r="A5" s="76" t="s">
        <v>4</v>
      </c>
      <c r="B5" s="76" t="s">
        <v>17</v>
      </c>
      <c r="C5" s="43">
        <v>2025</v>
      </c>
      <c r="D5" s="77">
        <v>153.08000000000001</v>
      </c>
      <c r="E5" s="77">
        <v>1.18</v>
      </c>
    </row>
    <row r="6" spans="1:5" x14ac:dyDescent="0.3">
      <c r="A6" s="76" t="s">
        <v>4</v>
      </c>
      <c r="B6" s="76" t="s">
        <v>19</v>
      </c>
      <c r="C6" s="43">
        <v>2025</v>
      </c>
      <c r="D6" s="77">
        <v>1174.295435</v>
      </c>
      <c r="E6" s="77">
        <v>1.53</v>
      </c>
    </row>
    <row r="7" spans="1:5" x14ac:dyDescent="0.3">
      <c r="A7" s="76" t="s">
        <v>4</v>
      </c>
      <c r="B7" s="76" t="s">
        <v>30</v>
      </c>
      <c r="C7" s="43">
        <v>2025</v>
      </c>
      <c r="D7" s="77">
        <v>246.5</v>
      </c>
      <c r="E7" s="77">
        <v>1.18</v>
      </c>
    </row>
    <row r="8" spans="1:5" x14ac:dyDescent="0.3">
      <c r="A8" s="76" t="s">
        <v>4</v>
      </c>
      <c r="B8" s="76" t="s">
        <v>29</v>
      </c>
      <c r="C8" s="43">
        <v>2025</v>
      </c>
      <c r="D8" s="77">
        <v>112.5</v>
      </c>
      <c r="E8" s="77">
        <v>1.26</v>
      </c>
    </row>
    <row r="9" spans="1:5" x14ac:dyDescent="0.3">
      <c r="A9" s="76" t="s">
        <v>5</v>
      </c>
      <c r="B9" s="76" t="s">
        <v>14</v>
      </c>
      <c r="C9" s="43">
        <v>2025</v>
      </c>
      <c r="D9" s="77">
        <v>360</v>
      </c>
      <c r="E9" s="77">
        <v>0.44</v>
      </c>
    </row>
    <row r="10" spans="1:5" x14ac:dyDescent="0.3">
      <c r="A10" s="76" t="s">
        <v>5</v>
      </c>
      <c r="B10" s="76" t="s">
        <v>9</v>
      </c>
      <c r="C10" s="43">
        <v>2025</v>
      </c>
      <c r="D10" s="77">
        <v>542</v>
      </c>
      <c r="E10" s="77">
        <v>0.88</v>
      </c>
    </row>
    <row r="11" spans="1:5" x14ac:dyDescent="0.3">
      <c r="A11" s="76" t="s">
        <v>5</v>
      </c>
      <c r="B11" s="76" t="s">
        <v>21</v>
      </c>
      <c r="C11" s="43">
        <v>2025</v>
      </c>
      <c r="D11" s="77">
        <v>48.8</v>
      </c>
      <c r="E11" s="77">
        <v>0</v>
      </c>
    </row>
    <row r="12" spans="1:5" x14ac:dyDescent="0.3">
      <c r="A12" s="76" t="s">
        <v>5</v>
      </c>
      <c r="B12" s="76" t="s">
        <v>24</v>
      </c>
      <c r="C12" s="43">
        <v>2025</v>
      </c>
      <c r="D12" s="77">
        <v>428.4</v>
      </c>
      <c r="E12" s="77">
        <v>0.44</v>
      </c>
    </row>
    <row r="13" spans="1:5" x14ac:dyDescent="0.3">
      <c r="A13" s="76" t="s">
        <v>5</v>
      </c>
      <c r="B13" s="76" t="s">
        <v>32</v>
      </c>
      <c r="C13" s="43">
        <v>2025</v>
      </c>
      <c r="D13" s="77">
        <v>803.4</v>
      </c>
      <c r="E13" s="77">
        <v>1.73</v>
      </c>
    </row>
    <row r="14" spans="1:5" x14ac:dyDescent="0.3">
      <c r="A14" s="76" t="s">
        <v>6</v>
      </c>
      <c r="B14" s="76" t="s">
        <v>15</v>
      </c>
      <c r="C14" s="43">
        <v>2025</v>
      </c>
      <c r="D14" s="77">
        <v>117.49</v>
      </c>
      <c r="E14" s="77">
        <v>1.35</v>
      </c>
    </row>
    <row r="15" spans="1:5" x14ac:dyDescent="0.3">
      <c r="A15" s="76" t="s">
        <v>6</v>
      </c>
      <c r="B15" s="76" t="s">
        <v>49</v>
      </c>
      <c r="C15" s="43">
        <v>2025</v>
      </c>
      <c r="D15" s="77">
        <v>27.155000000000001</v>
      </c>
      <c r="E15" s="77">
        <v>0.98</v>
      </c>
    </row>
    <row r="16" spans="1:5" x14ac:dyDescent="0.3">
      <c r="A16" s="76" t="s">
        <v>6</v>
      </c>
      <c r="B16" s="76" t="s">
        <v>27</v>
      </c>
      <c r="C16" s="43">
        <v>2025</v>
      </c>
      <c r="D16" s="77">
        <v>183.08500000000001</v>
      </c>
      <c r="E16" s="77">
        <v>1.1299999999999999</v>
      </c>
    </row>
    <row r="17" spans="1:5" x14ac:dyDescent="0.3">
      <c r="A17" s="76" t="s">
        <v>6</v>
      </c>
      <c r="B17" s="76" t="s">
        <v>34</v>
      </c>
      <c r="C17" s="43">
        <v>2025</v>
      </c>
      <c r="D17" s="77">
        <v>459.666</v>
      </c>
      <c r="E17" s="77">
        <v>1.37</v>
      </c>
    </row>
    <row r="18" spans="1:5" x14ac:dyDescent="0.3">
      <c r="A18" s="76" t="s">
        <v>6</v>
      </c>
      <c r="B18" s="76" t="s">
        <v>44</v>
      </c>
      <c r="C18" s="43">
        <v>2025</v>
      </c>
      <c r="D18" s="77">
        <v>584.1</v>
      </c>
      <c r="E18" s="77">
        <v>1.31</v>
      </c>
    </row>
    <row r="19" spans="1:5" x14ac:dyDescent="0.3">
      <c r="A19" s="76" t="s">
        <v>16</v>
      </c>
      <c r="B19" s="76" t="s">
        <v>17</v>
      </c>
      <c r="C19" s="43">
        <v>2025</v>
      </c>
      <c r="D19" s="77">
        <v>51.744399999999999</v>
      </c>
      <c r="E19" s="77">
        <v>0.83</v>
      </c>
    </row>
    <row r="20" spans="1:5" x14ac:dyDescent="0.3">
      <c r="A20" s="76" t="s">
        <v>16</v>
      </c>
      <c r="B20" s="76" t="s">
        <v>29</v>
      </c>
      <c r="C20" s="43">
        <v>2025</v>
      </c>
      <c r="D20" s="77">
        <v>7.73</v>
      </c>
      <c r="E20" s="77">
        <v>0.56999999999999995</v>
      </c>
    </row>
    <row r="21" spans="1:5" x14ac:dyDescent="0.3">
      <c r="A21" s="76" t="s">
        <v>8</v>
      </c>
      <c r="B21" s="76" t="s">
        <v>9</v>
      </c>
      <c r="C21" s="43">
        <v>2025</v>
      </c>
      <c r="D21" s="77">
        <v>896.71</v>
      </c>
      <c r="E21" s="77">
        <v>1.1499999999999999</v>
      </c>
    </row>
    <row r="22" spans="1:5" x14ac:dyDescent="0.3">
      <c r="A22" s="76" t="s">
        <v>8</v>
      </c>
      <c r="B22" s="76" t="s">
        <v>25</v>
      </c>
      <c r="C22" s="43">
        <v>2025</v>
      </c>
      <c r="D22" s="77">
        <v>28.030080000000002</v>
      </c>
      <c r="E22" s="77">
        <v>1.74</v>
      </c>
    </row>
    <row r="23" spans="1:5" x14ac:dyDescent="0.3">
      <c r="A23" s="76" t="s">
        <v>8</v>
      </c>
      <c r="B23" s="76" t="s">
        <v>30</v>
      </c>
      <c r="C23" s="43">
        <v>2025</v>
      </c>
      <c r="D23" s="77">
        <v>1246.4000000000001</v>
      </c>
      <c r="E23" s="77">
        <v>0.88</v>
      </c>
    </row>
    <row r="24" spans="1:5" x14ac:dyDescent="0.3">
      <c r="A24" s="76" t="s">
        <v>10</v>
      </c>
      <c r="B24" s="76" t="s">
        <v>9</v>
      </c>
      <c r="C24" s="43">
        <v>2025</v>
      </c>
      <c r="D24" s="77">
        <v>15.7</v>
      </c>
      <c r="E24" s="77">
        <v>1.37</v>
      </c>
    </row>
    <row r="25" spans="1:5" x14ac:dyDescent="0.3">
      <c r="A25" s="76" t="s">
        <v>10</v>
      </c>
      <c r="B25" s="76" t="s">
        <v>25</v>
      </c>
      <c r="C25" s="43">
        <v>2025</v>
      </c>
      <c r="D25" s="77">
        <v>321.86399999999998</v>
      </c>
      <c r="E25" s="77">
        <v>1.67</v>
      </c>
    </row>
    <row r="26" spans="1:5" x14ac:dyDescent="0.3">
      <c r="A26" s="76" t="s">
        <v>10</v>
      </c>
      <c r="B26" s="76" t="s">
        <v>28</v>
      </c>
      <c r="C26" s="43">
        <v>2025</v>
      </c>
      <c r="D26" s="77">
        <v>87.8</v>
      </c>
      <c r="E26" s="77">
        <v>0</v>
      </c>
    </row>
    <row r="27" spans="1:5" x14ac:dyDescent="0.3">
      <c r="A27" s="76" t="s">
        <v>11</v>
      </c>
      <c r="B27" s="76" t="s">
        <v>13</v>
      </c>
      <c r="C27" s="43">
        <v>2025</v>
      </c>
      <c r="D27" s="77">
        <v>70.5</v>
      </c>
      <c r="E27" s="77">
        <v>0</v>
      </c>
    </row>
    <row r="28" spans="1:5" x14ac:dyDescent="0.3">
      <c r="A28" s="76" t="s">
        <v>11</v>
      </c>
      <c r="B28" s="76" t="s">
        <v>22</v>
      </c>
      <c r="C28" s="43">
        <v>2025</v>
      </c>
      <c r="D28" s="77">
        <v>84</v>
      </c>
      <c r="E28" s="77">
        <v>0</v>
      </c>
    </row>
    <row r="29" spans="1:5" x14ac:dyDescent="0.3">
      <c r="A29" s="76" t="s">
        <v>13</v>
      </c>
      <c r="B29" s="76" t="s">
        <v>11</v>
      </c>
      <c r="C29" s="43">
        <v>2025</v>
      </c>
      <c r="D29" s="77">
        <v>78</v>
      </c>
      <c r="E29" s="77">
        <v>0</v>
      </c>
    </row>
    <row r="30" spans="1:5" x14ac:dyDescent="0.3">
      <c r="A30" s="76" t="s">
        <v>14</v>
      </c>
      <c r="B30" s="76" t="s">
        <v>5</v>
      </c>
      <c r="C30" s="43">
        <v>2025</v>
      </c>
      <c r="D30" s="77">
        <v>270</v>
      </c>
      <c r="E30" s="77">
        <v>0.22</v>
      </c>
    </row>
    <row r="31" spans="1:5" x14ac:dyDescent="0.3">
      <c r="A31" s="76" t="s">
        <v>14</v>
      </c>
      <c r="B31" s="76" t="s">
        <v>9</v>
      </c>
      <c r="C31" s="43">
        <v>2025</v>
      </c>
      <c r="D31" s="77">
        <v>100</v>
      </c>
      <c r="E31" s="77">
        <v>0</v>
      </c>
    </row>
    <row r="32" spans="1:5" x14ac:dyDescent="0.3">
      <c r="A32" s="76" t="s">
        <v>14</v>
      </c>
      <c r="B32" s="76" t="s">
        <v>12</v>
      </c>
      <c r="C32" s="43">
        <v>2025</v>
      </c>
      <c r="D32" s="77">
        <v>164.57</v>
      </c>
      <c r="E32" s="77">
        <v>1.94</v>
      </c>
    </row>
    <row r="33" spans="1:5" x14ac:dyDescent="0.3">
      <c r="A33" s="76" t="s">
        <v>14</v>
      </c>
      <c r="B33" s="76" t="s">
        <v>45</v>
      </c>
      <c r="C33" s="43">
        <v>2025</v>
      </c>
      <c r="D33" s="77">
        <v>223</v>
      </c>
      <c r="E33" s="77">
        <v>1.29</v>
      </c>
    </row>
    <row r="34" spans="1:5" x14ac:dyDescent="0.3">
      <c r="A34" s="76" t="s">
        <v>9</v>
      </c>
      <c r="B34" s="76" t="s">
        <v>4</v>
      </c>
      <c r="C34" s="43">
        <v>2025</v>
      </c>
      <c r="D34" s="77">
        <v>364.89</v>
      </c>
      <c r="E34" s="77">
        <v>1.01</v>
      </c>
    </row>
    <row r="35" spans="1:5" x14ac:dyDescent="0.3">
      <c r="A35" s="76" t="s">
        <v>9</v>
      </c>
      <c r="B35" s="76" t="s">
        <v>5</v>
      </c>
      <c r="C35" s="43">
        <v>2025</v>
      </c>
      <c r="D35" s="77">
        <v>356</v>
      </c>
      <c r="E35" s="77">
        <v>0.8</v>
      </c>
    </row>
    <row r="36" spans="1:5" x14ac:dyDescent="0.3">
      <c r="A36" s="76" t="s">
        <v>9</v>
      </c>
      <c r="B36" s="76" t="s">
        <v>8</v>
      </c>
      <c r="C36" s="43">
        <v>2025</v>
      </c>
      <c r="D36" s="77">
        <v>1628</v>
      </c>
      <c r="E36" s="77">
        <v>0.79</v>
      </c>
    </row>
    <row r="37" spans="1:5" x14ac:dyDescent="0.3">
      <c r="A37" s="76" t="s">
        <v>9</v>
      </c>
      <c r="B37" s="76" t="s">
        <v>10</v>
      </c>
      <c r="C37" s="43">
        <v>2025</v>
      </c>
      <c r="D37" s="77">
        <v>123.71</v>
      </c>
      <c r="E37" s="77">
        <v>1.37</v>
      </c>
    </row>
    <row r="38" spans="1:5" x14ac:dyDescent="0.3">
      <c r="A38" s="76" t="s">
        <v>9</v>
      </c>
      <c r="B38" s="76" t="s">
        <v>14</v>
      </c>
      <c r="C38" s="43">
        <v>2025</v>
      </c>
      <c r="D38" s="77">
        <v>613.74</v>
      </c>
      <c r="E38" s="77">
        <v>0.97</v>
      </c>
    </row>
    <row r="39" spans="1:5" x14ac:dyDescent="0.3">
      <c r="A39" s="76" t="s">
        <v>9</v>
      </c>
      <c r="B39" s="76" t="s">
        <v>21</v>
      </c>
      <c r="C39" s="43">
        <v>2025</v>
      </c>
      <c r="D39" s="77">
        <v>24</v>
      </c>
      <c r="E39" s="77">
        <v>0.69</v>
      </c>
    </row>
    <row r="40" spans="1:5" x14ac:dyDescent="0.3">
      <c r="A40" s="76" t="s">
        <v>9</v>
      </c>
      <c r="B40" s="76" t="s">
        <v>24</v>
      </c>
      <c r="C40" s="43">
        <v>2025</v>
      </c>
      <c r="D40" s="77">
        <v>593.6</v>
      </c>
      <c r="E40" s="77">
        <v>1</v>
      </c>
    </row>
    <row r="41" spans="1:5" x14ac:dyDescent="0.3">
      <c r="A41" s="76" t="s">
        <v>9</v>
      </c>
      <c r="B41" s="76" t="s">
        <v>25</v>
      </c>
      <c r="C41" s="43">
        <v>2025</v>
      </c>
      <c r="D41" s="77">
        <f>(277.58+48.7)</f>
        <v>326.27999999999997</v>
      </c>
      <c r="E41" s="77">
        <v>1.68</v>
      </c>
    </row>
    <row r="42" spans="1:5" x14ac:dyDescent="0.3">
      <c r="A42" s="76" t="s">
        <v>9</v>
      </c>
      <c r="B42" s="76" t="s">
        <v>45</v>
      </c>
      <c r="C42" s="43">
        <v>2025</v>
      </c>
      <c r="D42" s="77">
        <v>346.67</v>
      </c>
      <c r="E42" s="77">
        <v>0.94</v>
      </c>
    </row>
    <row r="43" spans="1:5" x14ac:dyDescent="0.3">
      <c r="A43" s="76" t="s">
        <v>15</v>
      </c>
      <c r="B43" s="76" t="s">
        <v>6</v>
      </c>
      <c r="C43" s="43">
        <v>2025</v>
      </c>
      <c r="D43" s="77">
        <f>66.28+106</f>
        <v>172.28</v>
      </c>
      <c r="E43" s="77">
        <f>(1.24*66.28+0.67*106)/(66.28+106)</f>
        <v>0.88929185047596937</v>
      </c>
    </row>
    <row r="44" spans="1:5" x14ac:dyDescent="0.3">
      <c r="A44" s="76" t="s">
        <v>17</v>
      </c>
      <c r="B44" s="76" t="s">
        <v>16</v>
      </c>
      <c r="C44" s="43">
        <v>2025</v>
      </c>
      <c r="D44" s="77">
        <v>77.59</v>
      </c>
      <c r="E44" s="77">
        <v>1.71</v>
      </c>
    </row>
    <row r="45" spans="1:5" x14ac:dyDescent="0.3">
      <c r="A45" s="76" t="s">
        <v>17</v>
      </c>
      <c r="B45" s="76" t="s">
        <v>27</v>
      </c>
      <c r="C45" s="43">
        <v>2025</v>
      </c>
      <c r="D45" s="77">
        <v>77.459999999999994</v>
      </c>
      <c r="E45" s="77">
        <v>1.28</v>
      </c>
    </row>
    <row r="46" spans="1:5" x14ac:dyDescent="0.3">
      <c r="A46" s="76" t="s">
        <v>17</v>
      </c>
      <c r="B46" s="76" t="s">
        <v>34</v>
      </c>
      <c r="C46" s="43">
        <v>2025</v>
      </c>
      <c r="D46" s="77">
        <v>141.97999999999999</v>
      </c>
      <c r="E46" s="77">
        <v>1.25</v>
      </c>
    </row>
    <row r="47" spans="1:5" x14ac:dyDescent="0.3">
      <c r="A47" s="76" t="s">
        <v>17</v>
      </c>
      <c r="B47" s="76" t="s">
        <v>30</v>
      </c>
      <c r="C47" s="43">
        <v>2025</v>
      </c>
      <c r="D47" s="77">
        <v>50.88</v>
      </c>
      <c r="E47" s="77">
        <v>1.19</v>
      </c>
    </row>
    <row r="48" spans="1:5" x14ac:dyDescent="0.3">
      <c r="A48" s="76" t="s">
        <v>19</v>
      </c>
      <c r="B48" s="76" t="s">
        <v>4</v>
      </c>
      <c r="C48" s="43">
        <v>2025</v>
      </c>
      <c r="D48" s="77">
        <v>193.86578499999999</v>
      </c>
      <c r="E48" s="77">
        <v>1.76</v>
      </c>
    </row>
    <row r="49" spans="1:5" x14ac:dyDescent="0.3">
      <c r="A49" s="76" t="s">
        <v>19</v>
      </c>
      <c r="B49" s="76" t="s">
        <v>29</v>
      </c>
      <c r="C49" s="43">
        <v>2025</v>
      </c>
      <c r="D49" s="77">
        <v>39</v>
      </c>
      <c r="E49" s="77">
        <v>1.53</v>
      </c>
    </row>
    <row r="50" spans="1:5" x14ac:dyDescent="0.3">
      <c r="A50" s="76" t="s">
        <v>19</v>
      </c>
      <c r="B50" s="76" t="s">
        <v>45</v>
      </c>
      <c r="C50" s="43">
        <v>2025</v>
      </c>
      <c r="D50" s="77">
        <v>443.293992</v>
      </c>
      <c r="E50" s="77">
        <v>1.7</v>
      </c>
    </row>
    <row r="51" spans="1:5" x14ac:dyDescent="0.3">
      <c r="A51" s="76" t="s">
        <v>22</v>
      </c>
      <c r="B51" s="76" t="s">
        <v>11</v>
      </c>
      <c r="C51" s="43">
        <v>2025</v>
      </c>
      <c r="D51" s="77">
        <v>84</v>
      </c>
      <c r="E51" s="77">
        <v>0</v>
      </c>
    </row>
    <row r="52" spans="1:5" x14ac:dyDescent="0.3">
      <c r="A52" s="76" t="s">
        <v>22</v>
      </c>
      <c r="B52" s="76" t="s">
        <v>20</v>
      </c>
      <c r="C52" s="43">
        <v>2025</v>
      </c>
      <c r="D52" s="77">
        <v>90</v>
      </c>
      <c r="E52" s="77">
        <v>0</v>
      </c>
    </row>
    <row r="53" spans="1:5" x14ac:dyDescent="0.3">
      <c r="A53" s="76" t="s">
        <v>20</v>
      </c>
      <c r="B53" s="76" t="s">
        <v>22</v>
      </c>
      <c r="C53" s="43">
        <v>2025</v>
      </c>
      <c r="D53" s="77">
        <v>90</v>
      </c>
      <c r="E53" s="77">
        <v>0</v>
      </c>
    </row>
    <row r="54" spans="1:5" x14ac:dyDescent="0.3">
      <c r="A54" s="76" t="s">
        <v>20</v>
      </c>
      <c r="B54" s="76" t="s">
        <v>25</v>
      </c>
      <c r="C54" s="43">
        <v>2025</v>
      </c>
      <c r="D54" s="77">
        <v>58.069200000000002</v>
      </c>
      <c r="E54" s="77">
        <v>1.31</v>
      </c>
    </row>
    <row r="55" spans="1:5" x14ac:dyDescent="0.3">
      <c r="A55" s="76" t="s">
        <v>47</v>
      </c>
      <c r="B55" s="76" t="s">
        <v>27</v>
      </c>
      <c r="C55" s="43">
        <v>2025</v>
      </c>
      <c r="D55" s="77">
        <v>21.56</v>
      </c>
      <c r="E55" s="77">
        <v>0.81</v>
      </c>
    </row>
    <row r="56" spans="1:5" x14ac:dyDescent="0.3">
      <c r="A56" s="76" t="s">
        <v>24</v>
      </c>
      <c r="B56" s="76" t="s">
        <v>5</v>
      </c>
      <c r="C56" s="43">
        <v>2025</v>
      </c>
      <c r="D56" s="77">
        <v>792</v>
      </c>
      <c r="E56" s="77">
        <v>0.53</v>
      </c>
    </row>
    <row r="57" spans="1:5" x14ac:dyDescent="0.3">
      <c r="A57" s="76" t="s">
        <v>24</v>
      </c>
      <c r="B57" s="76" t="s">
        <v>9</v>
      </c>
      <c r="C57" s="43">
        <v>2025</v>
      </c>
      <c r="D57" s="77">
        <v>662</v>
      </c>
      <c r="E57" s="77">
        <v>1</v>
      </c>
    </row>
    <row r="58" spans="1:5" x14ac:dyDescent="0.3">
      <c r="A58" s="76" t="s">
        <v>24</v>
      </c>
      <c r="B58" s="76" t="s">
        <v>32</v>
      </c>
      <c r="C58" s="43">
        <v>2025</v>
      </c>
      <c r="D58" s="77">
        <v>494.4</v>
      </c>
      <c r="E58" s="77">
        <v>2.4500000000000002</v>
      </c>
    </row>
    <row r="59" spans="1:5" x14ac:dyDescent="0.3">
      <c r="A59" s="76" t="s">
        <v>46</v>
      </c>
      <c r="B59" s="76" t="s">
        <v>5</v>
      </c>
      <c r="C59" s="43">
        <v>2025</v>
      </c>
      <c r="D59" s="77">
        <v>488</v>
      </c>
      <c r="E59" s="77">
        <v>0.66</v>
      </c>
    </row>
    <row r="60" spans="1:5" x14ac:dyDescent="0.3">
      <c r="A60" s="76" t="s">
        <v>46</v>
      </c>
      <c r="B60" s="76" t="s">
        <v>10</v>
      </c>
      <c r="C60" s="43">
        <v>2025</v>
      </c>
      <c r="D60" s="77">
        <v>321.60000000000002</v>
      </c>
      <c r="E60" s="77">
        <v>0.68</v>
      </c>
    </row>
    <row r="61" spans="1:5" x14ac:dyDescent="0.3">
      <c r="A61" s="76" t="s">
        <v>46</v>
      </c>
      <c r="B61" s="76" t="s">
        <v>14</v>
      </c>
      <c r="C61" s="43">
        <v>2025</v>
      </c>
      <c r="D61" s="77">
        <v>570</v>
      </c>
      <c r="E61" s="77">
        <v>0.83</v>
      </c>
    </row>
    <row r="62" spans="1:5" x14ac:dyDescent="0.3">
      <c r="A62" s="76" t="s">
        <v>46</v>
      </c>
      <c r="B62" s="76" t="s">
        <v>9</v>
      </c>
      <c r="C62" s="43">
        <v>2025</v>
      </c>
      <c r="D62" s="77">
        <v>1246.95</v>
      </c>
      <c r="E62" s="77">
        <v>0.69</v>
      </c>
    </row>
    <row r="63" spans="1:5" x14ac:dyDescent="0.3">
      <c r="A63" s="76" t="s">
        <v>46</v>
      </c>
      <c r="B63" s="76" t="s">
        <v>24</v>
      </c>
      <c r="C63" s="43">
        <v>2025</v>
      </c>
      <c r="D63" s="77">
        <v>964.8</v>
      </c>
      <c r="E63" s="77">
        <v>0.31</v>
      </c>
    </row>
    <row r="64" spans="1:5" x14ac:dyDescent="0.3">
      <c r="A64" s="76" t="s">
        <v>46</v>
      </c>
      <c r="B64" s="76" t="s">
        <v>32</v>
      </c>
      <c r="C64" s="43">
        <v>2025</v>
      </c>
      <c r="D64" s="77">
        <v>1499.1</v>
      </c>
      <c r="E64" s="77">
        <v>1.52</v>
      </c>
    </row>
    <row r="65" spans="1:5" x14ac:dyDescent="0.3">
      <c r="A65" s="76" t="s">
        <v>25</v>
      </c>
      <c r="B65" s="76" t="s">
        <v>10</v>
      </c>
      <c r="C65" s="43">
        <v>2025</v>
      </c>
      <c r="D65" s="77">
        <v>91</v>
      </c>
      <c r="E65" s="77">
        <v>1.22</v>
      </c>
    </row>
    <row r="66" spans="1:5" x14ac:dyDescent="0.3">
      <c r="A66" s="76" t="s">
        <v>25</v>
      </c>
      <c r="B66" s="76" t="s">
        <v>9</v>
      </c>
      <c r="C66" s="43">
        <v>2025</v>
      </c>
      <c r="D66" s="77">
        <v>0.1</v>
      </c>
      <c r="E66" s="77">
        <v>1.23</v>
      </c>
    </row>
    <row r="67" spans="1:5" x14ac:dyDescent="0.3">
      <c r="A67" s="76" t="s">
        <v>25</v>
      </c>
      <c r="B67" s="76" t="s">
        <v>20</v>
      </c>
      <c r="C67" s="43">
        <v>2025</v>
      </c>
      <c r="D67" s="77">
        <v>21.408000000000001</v>
      </c>
      <c r="E67" s="77">
        <v>0.93</v>
      </c>
    </row>
    <row r="68" spans="1:5" x14ac:dyDescent="0.3">
      <c r="A68" s="76" t="s">
        <v>25</v>
      </c>
      <c r="B68" s="76" t="s">
        <v>30</v>
      </c>
      <c r="C68" s="43">
        <v>2025</v>
      </c>
      <c r="D68" s="77">
        <v>144</v>
      </c>
      <c r="E68" s="77">
        <v>0.88</v>
      </c>
    </row>
    <row r="69" spans="1:5" x14ac:dyDescent="0.3">
      <c r="A69" s="76" t="s">
        <v>26</v>
      </c>
      <c r="B69" s="76" t="s">
        <v>12</v>
      </c>
      <c r="C69" s="43">
        <v>2025</v>
      </c>
      <c r="D69" s="77">
        <v>80</v>
      </c>
      <c r="E69" s="77">
        <v>0.38</v>
      </c>
    </row>
    <row r="70" spans="1:5" x14ac:dyDescent="0.3">
      <c r="A70" s="76" t="s">
        <v>27</v>
      </c>
      <c r="B70" s="76" t="s">
        <v>6</v>
      </c>
      <c r="C70" s="43">
        <v>2025</v>
      </c>
      <c r="D70" s="77">
        <v>258.678</v>
      </c>
      <c r="E70" s="77">
        <v>1.08</v>
      </c>
    </row>
    <row r="71" spans="1:5" x14ac:dyDescent="0.3">
      <c r="A71" s="76" t="s">
        <v>27</v>
      </c>
      <c r="B71" s="76" t="s">
        <v>17</v>
      </c>
      <c r="C71" s="43">
        <v>2025</v>
      </c>
      <c r="D71" s="77">
        <v>73.37</v>
      </c>
      <c r="E71" s="77">
        <v>0.71</v>
      </c>
    </row>
    <row r="72" spans="1:5" x14ac:dyDescent="0.3">
      <c r="A72" s="76" t="s">
        <v>27</v>
      </c>
      <c r="B72" s="76" t="s">
        <v>47</v>
      </c>
      <c r="C72" s="43">
        <v>2025</v>
      </c>
      <c r="D72" s="77">
        <v>55.26</v>
      </c>
      <c r="E72" s="77">
        <v>0.67</v>
      </c>
    </row>
    <row r="73" spans="1:5" x14ac:dyDescent="0.3">
      <c r="A73" s="76" t="s">
        <v>27</v>
      </c>
      <c r="B73" s="76" t="s">
        <v>35</v>
      </c>
      <c r="C73" s="43">
        <v>2025</v>
      </c>
      <c r="D73" s="77">
        <v>121</v>
      </c>
      <c r="E73" s="77">
        <v>0.76</v>
      </c>
    </row>
    <row r="74" spans="1:5" x14ac:dyDescent="0.3">
      <c r="A74" s="76" t="s">
        <v>34</v>
      </c>
      <c r="B74" s="76" t="s">
        <v>48</v>
      </c>
      <c r="C74" s="43">
        <v>2025</v>
      </c>
      <c r="D74" s="77">
        <v>14</v>
      </c>
      <c r="E74" s="77">
        <v>0.65</v>
      </c>
    </row>
    <row r="75" spans="1:5" x14ac:dyDescent="0.3">
      <c r="A75" s="76" t="s">
        <v>34</v>
      </c>
      <c r="B75" s="76" t="s">
        <v>6</v>
      </c>
      <c r="C75" s="43">
        <v>2025</v>
      </c>
      <c r="D75" s="77">
        <v>396.32400000000001</v>
      </c>
      <c r="E75" s="77">
        <v>1.1100000000000001</v>
      </c>
    </row>
    <row r="76" spans="1:5" x14ac:dyDescent="0.3">
      <c r="A76" s="76" t="s">
        <v>34</v>
      </c>
      <c r="B76" s="76" t="s">
        <v>17</v>
      </c>
      <c r="C76" s="43">
        <v>2025</v>
      </c>
      <c r="D76" s="77">
        <v>245.76</v>
      </c>
      <c r="E76" s="77">
        <v>0.74</v>
      </c>
    </row>
    <row r="77" spans="1:5" x14ac:dyDescent="0.3">
      <c r="A77" s="76" t="s">
        <v>30</v>
      </c>
      <c r="B77" s="76" t="s">
        <v>4</v>
      </c>
      <c r="C77" s="43">
        <v>2025</v>
      </c>
      <c r="D77" s="77">
        <v>1570.4</v>
      </c>
      <c r="E77" s="77">
        <v>0.78</v>
      </c>
    </row>
    <row r="78" spans="1:5" x14ac:dyDescent="0.3">
      <c r="A78" s="76" t="s">
        <v>30</v>
      </c>
      <c r="B78" s="76" t="s">
        <v>8</v>
      </c>
      <c r="C78" s="43">
        <v>2025</v>
      </c>
      <c r="D78" s="77">
        <v>396.7</v>
      </c>
      <c r="E78" s="77">
        <v>0.53</v>
      </c>
    </row>
    <row r="79" spans="1:5" x14ac:dyDescent="0.3">
      <c r="A79" s="76" t="s">
        <v>30</v>
      </c>
      <c r="B79" s="76" t="s">
        <v>17</v>
      </c>
      <c r="C79" s="43">
        <v>2025</v>
      </c>
      <c r="D79" s="77">
        <v>128.97</v>
      </c>
      <c r="E79" s="77">
        <v>0.81</v>
      </c>
    </row>
    <row r="80" spans="1:5" x14ac:dyDescent="0.3">
      <c r="A80" s="76" t="s">
        <v>30</v>
      </c>
      <c r="B80" s="76" t="s">
        <v>25</v>
      </c>
      <c r="C80" s="43">
        <v>2025</v>
      </c>
      <c r="D80" s="77">
        <v>173.94</v>
      </c>
      <c r="E80" s="77">
        <v>1.46</v>
      </c>
    </row>
    <row r="81" spans="1:5" x14ac:dyDescent="0.3">
      <c r="A81" s="76" t="s">
        <v>30</v>
      </c>
      <c r="B81" s="76" t="s">
        <v>35</v>
      </c>
      <c r="C81" s="43">
        <v>2025</v>
      </c>
      <c r="D81" s="77">
        <v>436.8</v>
      </c>
      <c r="E81" s="77">
        <v>1.04</v>
      </c>
    </row>
    <row r="82" spans="1:5" x14ac:dyDescent="0.3">
      <c r="A82" s="76" t="s">
        <v>29</v>
      </c>
      <c r="B82" s="76" t="s">
        <v>16</v>
      </c>
      <c r="C82" s="43">
        <v>2025</v>
      </c>
      <c r="D82" s="77">
        <v>53.7</v>
      </c>
      <c r="E82" s="77">
        <v>0.98</v>
      </c>
    </row>
    <row r="83" spans="1:5" x14ac:dyDescent="0.3">
      <c r="A83" s="76" t="s">
        <v>29</v>
      </c>
      <c r="B83" s="76" t="s">
        <v>19</v>
      </c>
      <c r="C83" s="43">
        <v>2025</v>
      </c>
      <c r="D83" s="77">
        <v>25.7</v>
      </c>
      <c r="E83" s="77">
        <v>0.57999999999999996</v>
      </c>
    </row>
    <row r="84" spans="1:5" x14ac:dyDescent="0.3">
      <c r="A84" s="76" t="s">
        <v>12</v>
      </c>
      <c r="B84" s="76" t="s">
        <v>14</v>
      </c>
      <c r="C84" s="43">
        <v>2025</v>
      </c>
      <c r="D84" s="77">
        <v>224.4</v>
      </c>
      <c r="E84" s="77">
        <v>0.94</v>
      </c>
    </row>
    <row r="85" spans="1:5" x14ac:dyDescent="0.3">
      <c r="A85" s="76" t="s">
        <v>12</v>
      </c>
      <c r="B85" s="76" t="s">
        <v>26</v>
      </c>
      <c r="C85" s="43">
        <v>2025</v>
      </c>
      <c r="D85" s="77">
        <v>144</v>
      </c>
      <c r="E85" s="77">
        <v>0.75</v>
      </c>
    </row>
    <row r="86" spans="1:5" x14ac:dyDescent="0.3">
      <c r="A86" s="76" t="s">
        <v>28</v>
      </c>
      <c r="B86" s="76" t="s">
        <v>10</v>
      </c>
      <c r="C86" s="43">
        <v>2025</v>
      </c>
      <c r="D86" s="77">
        <v>87.8</v>
      </c>
      <c r="E86" s="77">
        <v>0</v>
      </c>
    </row>
    <row r="87" spans="1:5" x14ac:dyDescent="0.3">
      <c r="A87" s="76" t="s">
        <v>45</v>
      </c>
      <c r="B87" s="76" t="s">
        <v>14</v>
      </c>
      <c r="C87" s="43">
        <v>2025</v>
      </c>
      <c r="D87" s="77">
        <v>100</v>
      </c>
      <c r="E87" s="77">
        <v>0.84</v>
      </c>
    </row>
    <row r="88" spans="1:5" x14ac:dyDescent="0.3">
      <c r="A88" s="76" t="s">
        <v>45</v>
      </c>
      <c r="B88" s="76" t="s">
        <v>9</v>
      </c>
      <c r="C88" s="43">
        <v>2025</v>
      </c>
      <c r="D88" s="77">
        <v>240</v>
      </c>
      <c r="E88" s="77">
        <v>0.69</v>
      </c>
    </row>
    <row r="89" spans="1:5" x14ac:dyDescent="0.3">
      <c r="A89" s="76" t="s">
        <v>45</v>
      </c>
      <c r="B89" s="76" t="s">
        <v>19</v>
      </c>
      <c r="C89" s="43">
        <v>2025</v>
      </c>
      <c r="D89" s="77">
        <v>640.5</v>
      </c>
      <c r="E89" s="77">
        <v>0.88</v>
      </c>
    </row>
    <row r="90" spans="1:5" x14ac:dyDescent="0.3">
      <c r="A90" s="76" t="s">
        <v>44</v>
      </c>
      <c r="B90" s="76" t="s">
        <v>6</v>
      </c>
      <c r="C90" s="43">
        <v>2025</v>
      </c>
      <c r="D90" s="77">
        <v>576.41200000000003</v>
      </c>
      <c r="E90" s="77">
        <v>2.2400000000000002</v>
      </c>
    </row>
    <row r="91" spans="1:5" x14ac:dyDescent="0.3">
      <c r="A91" s="76" t="s">
        <v>44</v>
      </c>
      <c r="B91" s="76" t="s">
        <v>15</v>
      </c>
      <c r="C91" s="43">
        <v>2025</v>
      </c>
      <c r="D91" s="77">
        <f>53.4+390</f>
        <v>443.4</v>
      </c>
      <c r="E91" s="77">
        <f>(1.9*53.4+1.35*390)/(53.4+390)</f>
        <v>1.4162381596752369</v>
      </c>
    </row>
    <row r="92" spans="1:5" x14ac:dyDescent="0.3">
      <c r="A92" s="76" t="s">
        <v>35</v>
      </c>
      <c r="B92" s="76" t="s">
        <v>17</v>
      </c>
      <c r="C92" s="43">
        <v>2025</v>
      </c>
      <c r="D92" s="77">
        <v>517.47</v>
      </c>
      <c r="E92" s="77">
        <v>1.1499999999999999</v>
      </c>
    </row>
    <row r="93" spans="1:5" x14ac:dyDescent="0.3">
      <c r="A93" s="76" t="s">
        <v>35</v>
      </c>
      <c r="B93" s="76" t="s">
        <v>25</v>
      </c>
      <c r="C93" s="43">
        <v>2025</v>
      </c>
      <c r="D93" s="77">
        <v>135.6</v>
      </c>
      <c r="E93" s="77">
        <v>1.79</v>
      </c>
    </row>
    <row r="94" spans="1:5" x14ac:dyDescent="0.3">
      <c r="A94" s="76" t="s">
        <v>35</v>
      </c>
      <c r="B94" s="76" t="s">
        <v>27</v>
      </c>
      <c r="C94" s="43">
        <v>2025</v>
      </c>
      <c r="D94" s="77">
        <v>201.9</v>
      </c>
      <c r="E94" s="77">
        <v>1.1499999999999999</v>
      </c>
    </row>
    <row r="95" spans="1:5" x14ac:dyDescent="0.3">
      <c r="A95" s="76" t="s">
        <v>35</v>
      </c>
      <c r="B95" s="76" t="s">
        <v>30</v>
      </c>
      <c r="C95" s="43">
        <v>2025</v>
      </c>
      <c r="D95" s="77">
        <v>2163.1999999999998</v>
      </c>
      <c r="E95" s="77">
        <v>1.32</v>
      </c>
    </row>
    <row r="96" spans="1:5" x14ac:dyDescent="0.3">
      <c r="A96" s="76" t="s">
        <v>32</v>
      </c>
      <c r="B96" s="76" t="s">
        <v>5</v>
      </c>
      <c r="C96" s="43">
        <v>2025</v>
      </c>
      <c r="D96" s="77">
        <v>651.70000000000005</v>
      </c>
      <c r="E96" s="77">
        <v>0.88</v>
      </c>
    </row>
    <row r="97" spans="1:5" x14ac:dyDescent="0.3">
      <c r="A97" s="76" t="s">
        <v>32</v>
      </c>
      <c r="B97" s="76" t="s">
        <v>18</v>
      </c>
      <c r="C97" s="43">
        <v>2025</v>
      </c>
      <c r="D97" s="77">
        <v>386.9</v>
      </c>
      <c r="E97" s="77">
        <v>1.36</v>
      </c>
    </row>
    <row r="98" spans="1:5" x14ac:dyDescent="0.3">
      <c r="A98" s="76" t="s">
        <v>32</v>
      </c>
      <c r="B98" s="76" t="s">
        <v>24</v>
      </c>
      <c r="C98" s="43">
        <v>2025</v>
      </c>
      <c r="D98" s="77">
        <v>168</v>
      </c>
      <c r="E98" s="77">
        <v>1.92</v>
      </c>
    </row>
  </sheetData>
  <autoFilter ref="A1:E98" xr:uid="{0DDD5C98-389A-4BFE-98D8-F6DE65D7DD17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08E27-2D52-4363-AEF5-4F681086FB36}">
  <dimension ref="A1:I27"/>
  <sheetViews>
    <sheetView workbookViewId="0">
      <selection activeCell="C3" sqref="C3"/>
    </sheetView>
  </sheetViews>
  <sheetFormatPr defaultRowHeight="14.4" x14ac:dyDescent="0.3"/>
  <cols>
    <col min="1" max="1" width="19.33203125" style="43" customWidth="1"/>
    <col min="2" max="2" width="12.77734375" style="43" customWidth="1"/>
    <col min="3" max="3" width="18.109375" style="77" customWidth="1"/>
    <col min="4" max="4" width="30.77734375" style="77" customWidth="1"/>
    <col min="5" max="5" width="14.21875" customWidth="1"/>
  </cols>
  <sheetData>
    <row r="1" spans="1:9" x14ac:dyDescent="0.3">
      <c r="A1" s="75" t="s">
        <v>43</v>
      </c>
      <c r="B1" s="75" t="s">
        <v>2</v>
      </c>
      <c r="C1" s="83" t="s">
        <v>74</v>
      </c>
      <c r="D1" s="83" t="s">
        <v>40</v>
      </c>
      <c r="E1" s="16"/>
    </row>
    <row r="2" spans="1:9" x14ac:dyDescent="0.3">
      <c r="A2" s="76" t="s">
        <v>85</v>
      </c>
      <c r="B2" s="43" t="s">
        <v>72</v>
      </c>
      <c r="C2" s="77">
        <v>4119.8599999999997</v>
      </c>
      <c r="D2" s="77">
        <v>3.23</v>
      </c>
    </row>
    <row r="3" spans="1:9" x14ac:dyDescent="0.3">
      <c r="A3" s="76" t="s">
        <v>84</v>
      </c>
      <c r="B3" s="43" t="s">
        <v>5</v>
      </c>
      <c r="C3" s="78">
        <v>2283.1050228310501</v>
      </c>
      <c r="D3" s="79">
        <v>0.55000000000000004</v>
      </c>
    </row>
    <row r="4" spans="1:9" x14ac:dyDescent="0.3">
      <c r="A4" s="76" t="s">
        <v>84</v>
      </c>
      <c r="B4" s="43" t="s">
        <v>14</v>
      </c>
      <c r="C4" s="78">
        <v>570.77625570776252</v>
      </c>
      <c r="D4" s="79">
        <v>2.0299999999999998</v>
      </c>
    </row>
    <row r="5" spans="1:9" x14ac:dyDescent="0.3">
      <c r="A5" s="76" t="s">
        <v>84</v>
      </c>
      <c r="B5" s="43" t="s">
        <v>9</v>
      </c>
      <c r="C5" s="78">
        <v>570.77625570776252</v>
      </c>
      <c r="D5" s="79">
        <v>4.62</v>
      </c>
    </row>
    <row r="6" spans="1:9" x14ac:dyDescent="0.3">
      <c r="A6" s="76" t="s">
        <v>84</v>
      </c>
      <c r="B6" s="43" t="s">
        <v>24</v>
      </c>
      <c r="C6" s="78">
        <v>3424.6575342465753</v>
      </c>
      <c r="D6" s="79">
        <v>0.18</v>
      </c>
    </row>
    <row r="7" spans="1:9" x14ac:dyDescent="0.3">
      <c r="A7" s="76" t="s">
        <v>53</v>
      </c>
      <c r="B7" s="80" t="s">
        <v>4</v>
      </c>
      <c r="C7" s="81">
        <v>846.69</v>
      </c>
      <c r="D7" s="82"/>
      <c r="F7" s="18"/>
      <c r="G7" s="17"/>
      <c r="H7" s="17"/>
      <c r="I7" s="17"/>
    </row>
    <row r="8" spans="1:9" x14ac:dyDescent="0.3">
      <c r="A8" s="76" t="s">
        <v>54</v>
      </c>
      <c r="B8" s="80" t="s">
        <v>5</v>
      </c>
      <c r="C8" s="81">
        <v>1953.9</v>
      </c>
      <c r="D8" s="82"/>
      <c r="F8" s="17"/>
      <c r="G8" s="17"/>
      <c r="H8" s="17"/>
      <c r="I8" s="17"/>
    </row>
    <row r="9" spans="1:9" x14ac:dyDescent="0.3">
      <c r="A9" s="76" t="s">
        <v>54</v>
      </c>
      <c r="B9" s="80" t="s">
        <v>6</v>
      </c>
      <c r="C9" s="81">
        <v>1131.6300000000001</v>
      </c>
      <c r="D9" s="82"/>
      <c r="F9" s="17"/>
      <c r="G9" s="17"/>
      <c r="H9" s="17"/>
      <c r="I9" s="17"/>
    </row>
    <row r="10" spans="1:9" x14ac:dyDescent="0.3">
      <c r="A10" s="76" t="s">
        <v>53</v>
      </c>
      <c r="B10" s="80" t="s">
        <v>8</v>
      </c>
      <c r="C10" s="81">
        <v>840.18</v>
      </c>
      <c r="D10" s="82"/>
      <c r="F10" s="18"/>
      <c r="G10" s="17"/>
      <c r="H10" s="17"/>
      <c r="I10" s="17"/>
    </row>
    <row r="11" spans="1:9" x14ac:dyDescent="0.3">
      <c r="A11" s="76" t="s">
        <v>54</v>
      </c>
      <c r="B11" s="80" t="s">
        <v>9</v>
      </c>
      <c r="C11" s="81">
        <v>8289.42</v>
      </c>
      <c r="D11" s="82"/>
      <c r="F11" s="17"/>
      <c r="G11" s="17"/>
      <c r="H11" s="17"/>
      <c r="I11" s="17"/>
    </row>
    <row r="12" spans="1:9" x14ac:dyDescent="0.3">
      <c r="A12" s="76" t="s">
        <v>53</v>
      </c>
      <c r="B12" s="80" t="s">
        <v>11</v>
      </c>
      <c r="C12" s="81">
        <v>141.66</v>
      </c>
      <c r="D12" s="82"/>
      <c r="F12" s="18"/>
      <c r="G12" s="17"/>
      <c r="H12" s="17"/>
      <c r="I12" s="17"/>
    </row>
    <row r="13" spans="1:9" x14ac:dyDescent="0.3">
      <c r="A13" s="76" t="s">
        <v>53</v>
      </c>
      <c r="B13" s="80" t="s">
        <v>12</v>
      </c>
      <c r="C13" s="81">
        <v>2458.66</v>
      </c>
      <c r="D13" s="82"/>
      <c r="F13" s="18"/>
      <c r="G13" s="17"/>
      <c r="H13" s="17"/>
      <c r="I13" s="17"/>
    </row>
    <row r="14" spans="1:9" x14ac:dyDescent="0.3">
      <c r="A14" s="76" t="s">
        <v>53</v>
      </c>
      <c r="B14" s="80" t="s">
        <v>13</v>
      </c>
      <c r="C14" s="81">
        <v>667.58</v>
      </c>
      <c r="D14" s="82"/>
      <c r="F14" s="18"/>
      <c r="G14" s="17"/>
      <c r="H14" s="17"/>
      <c r="I14" s="17"/>
    </row>
    <row r="15" spans="1:9" x14ac:dyDescent="0.3">
      <c r="A15" s="76" t="s">
        <v>54</v>
      </c>
      <c r="B15" s="80" t="s">
        <v>14</v>
      </c>
      <c r="C15" s="81">
        <v>2240.4699999999998</v>
      </c>
      <c r="D15" s="82"/>
      <c r="F15" s="17"/>
      <c r="G15" s="17"/>
      <c r="H15" s="17"/>
      <c r="I15" s="17"/>
    </row>
    <row r="16" spans="1:9" x14ac:dyDescent="0.3">
      <c r="A16" s="76" t="s">
        <v>54</v>
      </c>
      <c r="B16" s="80" t="s">
        <v>15</v>
      </c>
      <c r="C16" s="81">
        <v>667.58</v>
      </c>
      <c r="D16" s="82"/>
      <c r="F16" s="17"/>
      <c r="G16" s="17"/>
      <c r="H16" s="17"/>
      <c r="I16" s="17"/>
    </row>
    <row r="17" spans="1:9" x14ac:dyDescent="0.3">
      <c r="A17" s="76" t="s">
        <v>54</v>
      </c>
      <c r="B17" s="80" t="s">
        <v>16</v>
      </c>
      <c r="C17" s="81">
        <v>779.93</v>
      </c>
      <c r="D17" s="82"/>
      <c r="F17" s="17"/>
      <c r="G17" s="17"/>
      <c r="H17" s="17"/>
      <c r="I17" s="17"/>
    </row>
    <row r="18" spans="1:9" x14ac:dyDescent="0.3">
      <c r="A18" s="76" t="s">
        <v>54</v>
      </c>
      <c r="B18" s="80" t="s">
        <v>17</v>
      </c>
      <c r="C18" s="81">
        <v>1074.6500000000001</v>
      </c>
      <c r="D18" s="82"/>
      <c r="F18" s="17"/>
      <c r="G18" s="17"/>
      <c r="H18" s="17"/>
      <c r="I18" s="17"/>
    </row>
    <row r="19" spans="1:9" x14ac:dyDescent="0.3">
      <c r="A19" s="76" t="s">
        <v>54</v>
      </c>
      <c r="B19" s="80" t="s">
        <v>19</v>
      </c>
      <c r="C19" s="81">
        <v>2684.98</v>
      </c>
      <c r="D19" s="82"/>
      <c r="F19" s="17"/>
      <c r="G19" s="17"/>
      <c r="H19" s="17"/>
      <c r="I19" s="17"/>
    </row>
    <row r="20" spans="1:9" x14ac:dyDescent="0.3">
      <c r="A20" s="76" t="s">
        <v>53</v>
      </c>
      <c r="B20" s="80" t="s">
        <v>20</v>
      </c>
      <c r="C20" s="81">
        <v>1248.8699999999999</v>
      </c>
      <c r="D20" s="82"/>
      <c r="F20" s="18"/>
      <c r="G20" s="17"/>
      <c r="H20" s="17"/>
      <c r="I20" s="17"/>
    </row>
    <row r="21" spans="1:9" x14ac:dyDescent="0.3">
      <c r="A21" s="76" t="s">
        <v>54</v>
      </c>
      <c r="B21" s="80" t="s">
        <v>24</v>
      </c>
      <c r="C21" s="81">
        <v>5728.18</v>
      </c>
      <c r="D21" s="82"/>
      <c r="F21" s="17"/>
      <c r="G21" s="17"/>
      <c r="H21" s="17"/>
      <c r="I21" s="17"/>
    </row>
    <row r="22" spans="1:9" x14ac:dyDescent="0.3">
      <c r="A22" s="76" t="s">
        <v>53</v>
      </c>
      <c r="B22" s="80" t="s">
        <v>25</v>
      </c>
      <c r="C22" s="81">
        <v>3834.53</v>
      </c>
      <c r="D22" s="82"/>
      <c r="F22" s="18"/>
      <c r="G22" s="17"/>
      <c r="H22" s="17"/>
      <c r="I22" s="17"/>
    </row>
    <row r="23" spans="1:9" x14ac:dyDescent="0.3">
      <c r="A23" s="76" t="s">
        <v>53</v>
      </c>
      <c r="B23" s="80" t="s">
        <v>26</v>
      </c>
      <c r="C23" s="81">
        <v>460.79</v>
      </c>
      <c r="D23" s="82"/>
      <c r="F23" s="18"/>
      <c r="G23" s="17"/>
      <c r="H23" s="17"/>
      <c r="I23" s="17"/>
    </row>
    <row r="24" spans="1:9" x14ac:dyDescent="0.3">
      <c r="A24" s="76" t="s">
        <v>53</v>
      </c>
      <c r="B24" s="80" t="s">
        <v>27</v>
      </c>
      <c r="C24" s="81">
        <v>1559.86</v>
      </c>
      <c r="D24" s="82"/>
      <c r="F24" s="18"/>
      <c r="G24" s="17"/>
      <c r="H24" s="17"/>
      <c r="I24" s="17"/>
    </row>
    <row r="25" spans="1:9" x14ac:dyDescent="0.3">
      <c r="A25" s="76" t="s">
        <v>53</v>
      </c>
      <c r="B25" s="80" t="s">
        <v>28</v>
      </c>
      <c r="C25" s="81">
        <v>565</v>
      </c>
      <c r="D25" s="82"/>
      <c r="F25" s="18"/>
      <c r="G25" s="17"/>
      <c r="H25" s="17"/>
      <c r="I25" s="17"/>
    </row>
    <row r="26" spans="1:9" x14ac:dyDescent="0.3">
      <c r="A26" s="76" t="s">
        <v>53</v>
      </c>
      <c r="B26" s="80" t="s">
        <v>30</v>
      </c>
      <c r="C26" s="81">
        <v>792.96</v>
      </c>
      <c r="D26" s="82"/>
      <c r="F26" s="18"/>
      <c r="G26" s="17"/>
      <c r="H26" s="17"/>
      <c r="I26" s="17"/>
    </row>
    <row r="27" spans="1:9" x14ac:dyDescent="0.3">
      <c r="A27" s="76" t="s">
        <v>54</v>
      </c>
      <c r="B27" s="80" t="s">
        <v>32</v>
      </c>
      <c r="C27" s="81">
        <v>3000</v>
      </c>
      <c r="D27" s="82"/>
      <c r="F27" s="17"/>
      <c r="G27" s="17"/>
      <c r="H27" s="17"/>
      <c r="I27" s="1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3E538-7B50-4796-B981-3EFB6F1ED77A}">
  <sheetPr codeName="Sheet4"/>
  <dimension ref="A1:N26"/>
  <sheetViews>
    <sheetView workbookViewId="0">
      <selection activeCell="E12" sqref="E12"/>
    </sheetView>
  </sheetViews>
  <sheetFormatPr defaultRowHeight="14.4" x14ac:dyDescent="0.3"/>
  <cols>
    <col min="1" max="1" width="12.88671875" bestFit="1" customWidth="1"/>
    <col min="2" max="2" width="8.44140625" bestFit="1" customWidth="1"/>
    <col min="3" max="3" width="16.21875" bestFit="1" customWidth="1"/>
    <col min="4" max="6" width="26.21875" bestFit="1" customWidth="1"/>
    <col min="7" max="7" width="16.21875" bestFit="1" customWidth="1"/>
    <col min="8" max="10" width="32.88671875" bestFit="1" customWidth="1"/>
    <col min="11" max="11" width="15.109375" bestFit="1" customWidth="1"/>
    <col min="12" max="14" width="31.77734375" bestFit="1" customWidth="1"/>
    <col min="16" max="16" width="13.109375" customWidth="1"/>
    <col min="17" max="17" width="24.44140625" customWidth="1"/>
  </cols>
  <sheetData>
    <row r="1" spans="1:14" s="1" customFormat="1" x14ac:dyDescent="0.3">
      <c r="A1" s="67" t="s">
        <v>43</v>
      </c>
      <c r="B1" s="67" t="s">
        <v>2</v>
      </c>
      <c r="C1" s="67" t="s">
        <v>75</v>
      </c>
      <c r="D1" s="67" t="s">
        <v>135</v>
      </c>
      <c r="E1" s="67" t="s">
        <v>136</v>
      </c>
      <c r="F1" s="67" t="s">
        <v>137</v>
      </c>
      <c r="G1" s="67" t="s">
        <v>76</v>
      </c>
      <c r="H1" s="67" t="s">
        <v>138</v>
      </c>
      <c r="I1" s="67" t="s">
        <v>142</v>
      </c>
      <c r="J1" s="67" t="s">
        <v>143</v>
      </c>
      <c r="K1" s="67" t="s">
        <v>77</v>
      </c>
      <c r="L1" s="67" t="s">
        <v>139</v>
      </c>
      <c r="M1" s="67" t="s">
        <v>140</v>
      </c>
      <c r="N1" s="67" t="s">
        <v>141</v>
      </c>
    </row>
    <row r="2" spans="1:14" x14ac:dyDescent="0.3">
      <c r="A2" s="84" t="s">
        <v>92</v>
      </c>
      <c r="B2" s="17" t="s">
        <v>4</v>
      </c>
      <c r="C2" s="94">
        <v>0</v>
      </c>
      <c r="D2" s="94">
        <v>990.89008293328618</v>
      </c>
      <c r="E2" s="94">
        <v>5235.4923408584773</v>
      </c>
      <c r="F2" s="94">
        <v>5235.4923408584773</v>
      </c>
      <c r="G2" s="94">
        <v>0</v>
      </c>
      <c r="H2" s="94">
        <v>275.53762499999999</v>
      </c>
      <c r="I2" s="94">
        <v>1388.4408333333333</v>
      </c>
      <c r="J2" s="94">
        <v>2509.7222083333331</v>
      </c>
      <c r="K2" s="94">
        <v>0</v>
      </c>
      <c r="L2" s="94">
        <v>275.53762499999999</v>
      </c>
      <c r="M2" s="94">
        <v>1388.4408333333333</v>
      </c>
      <c r="N2" s="94">
        <v>2509.7222083333331</v>
      </c>
    </row>
    <row r="3" spans="1:14" x14ac:dyDescent="0.3">
      <c r="A3" s="76" t="s">
        <v>92</v>
      </c>
      <c r="B3" s="17" t="s">
        <v>5</v>
      </c>
      <c r="C3" s="94">
        <v>0</v>
      </c>
      <c r="D3" s="94">
        <v>893.30221231351629</v>
      </c>
      <c r="E3" s="94">
        <v>7761.8974771527437</v>
      </c>
      <c r="F3" s="94">
        <v>12001.733333333335</v>
      </c>
      <c r="G3" s="94">
        <v>0</v>
      </c>
      <c r="H3" s="94">
        <v>569.89245833333337</v>
      </c>
      <c r="I3" s="94">
        <v>3479.8387083333337</v>
      </c>
      <c r="J3" s="94">
        <v>3479.8387083333337</v>
      </c>
      <c r="K3" s="94">
        <v>0</v>
      </c>
      <c r="L3" s="94">
        <v>700.89283333333344</v>
      </c>
      <c r="M3" s="94">
        <v>6090.05375</v>
      </c>
      <c r="N3" s="94">
        <v>9416.6666666666661</v>
      </c>
    </row>
    <row r="4" spans="1:14" x14ac:dyDescent="0.3">
      <c r="A4" s="76" t="s">
        <v>92</v>
      </c>
      <c r="B4" s="17" t="s">
        <v>6</v>
      </c>
      <c r="C4" s="94">
        <v>0</v>
      </c>
      <c r="D4" s="94">
        <v>277.01125032689453</v>
      </c>
      <c r="E4" s="94">
        <v>1983.0960707776126</v>
      </c>
      <c r="F4" s="94">
        <v>2979.2775082714215</v>
      </c>
      <c r="G4" s="94">
        <v>0</v>
      </c>
      <c r="H4" s="94">
        <v>91.397833333333324</v>
      </c>
      <c r="I4" s="94">
        <v>504.03224999999998</v>
      </c>
      <c r="J4" s="94">
        <v>504.03224999999998</v>
      </c>
      <c r="K4" s="94">
        <v>0</v>
      </c>
      <c r="L4" s="94">
        <v>80.357124999999996</v>
      </c>
      <c r="M4" s="94">
        <v>575.26879166666663</v>
      </c>
      <c r="N4" s="94">
        <v>864.24729166666668</v>
      </c>
    </row>
    <row r="5" spans="1:14" x14ac:dyDescent="0.3">
      <c r="A5" s="76" t="s">
        <v>92</v>
      </c>
      <c r="B5" s="17" t="s">
        <v>8</v>
      </c>
      <c r="C5" s="94">
        <v>0</v>
      </c>
      <c r="D5" s="94">
        <v>997.18619839328039</v>
      </c>
      <c r="E5" s="94">
        <v>5945.5886777849855</v>
      </c>
      <c r="F5" s="94">
        <v>7342.185476906363</v>
      </c>
      <c r="G5" s="94">
        <v>0</v>
      </c>
      <c r="H5" s="94">
        <v>360.21504166666671</v>
      </c>
      <c r="I5" s="94">
        <v>1702.9569583333332</v>
      </c>
      <c r="J5" s="94">
        <v>2981.1827916666671</v>
      </c>
      <c r="K5" s="94">
        <v>0</v>
      </c>
      <c r="L5" s="94">
        <v>500</v>
      </c>
      <c r="M5" s="94">
        <v>2981.1827916666671</v>
      </c>
      <c r="N5" s="94">
        <v>3681.451583333333</v>
      </c>
    </row>
    <row r="6" spans="1:14" x14ac:dyDescent="0.3">
      <c r="A6" s="76" t="s">
        <v>92</v>
      </c>
      <c r="B6" s="17" t="s">
        <v>9</v>
      </c>
      <c r="C6" s="94">
        <v>475</v>
      </c>
      <c r="D6" s="94">
        <v>8850</v>
      </c>
      <c r="E6" s="94">
        <v>18976</v>
      </c>
      <c r="F6" s="94">
        <v>37524</v>
      </c>
      <c r="G6" s="94">
        <v>1045</v>
      </c>
      <c r="H6" s="94">
        <v>6375</v>
      </c>
      <c r="I6" s="94">
        <v>13666.666666666666</v>
      </c>
      <c r="J6" s="94">
        <v>27041.666666666668</v>
      </c>
      <c r="K6" s="94">
        <v>1211.25</v>
      </c>
      <c r="L6" s="94">
        <v>19083.333333333332</v>
      </c>
      <c r="M6" s="94">
        <v>40958.333333333336</v>
      </c>
      <c r="N6" s="94">
        <v>80958.333333333328</v>
      </c>
    </row>
    <row r="7" spans="1:14" x14ac:dyDescent="0.3">
      <c r="A7" s="76" t="s">
        <v>92</v>
      </c>
      <c r="B7" s="17" t="s">
        <v>10</v>
      </c>
      <c r="C7" s="94">
        <v>116</v>
      </c>
      <c r="D7" s="94">
        <v>230</v>
      </c>
      <c r="E7" s="94">
        <v>230</v>
      </c>
      <c r="F7" s="94">
        <v>230</v>
      </c>
      <c r="G7" s="94">
        <v>131.66666666666669</v>
      </c>
      <c r="H7" s="94">
        <v>1200</v>
      </c>
      <c r="I7" s="94">
        <v>1200</v>
      </c>
      <c r="J7" s="94">
        <v>1200</v>
      </c>
      <c r="K7" s="94">
        <v>395.83333333333331</v>
      </c>
      <c r="L7" s="94">
        <v>1200</v>
      </c>
      <c r="M7" s="94">
        <v>1200</v>
      </c>
      <c r="N7" s="94">
        <v>1200</v>
      </c>
    </row>
    <row r="8" spans="1:14" x14ac:dyDescent="0.3">
      <c r="A8" s="76" t="s">
        <v>92</v>
      </c>
      <c r="B8" s="17" t="s">
        <v>11</v>
      </c>
      <c r="C8" s="94">
        <v>0</v>
      </c>
      <c r="D8" s="94">
        <v>195.91565983061309</v>
      </c>
      <c r="E8" s="94">
        <v>459.64827879293216</v>
      </c>
      <c r="F8" s="94">
        <v>459.64827879293216</v>
      </c>
      <c r="G8" s="94">
        <v>0</v>
      </c>
      <c r="H8" s="94">
        <v>141.12899999999999</v>
      </c>
      <c r="I8" s="94">
        <v>186.82791666666665</v>
      </c>
      <c r="J8" s="94">
        <v>193.0555416666667</v>
      </c>
      <c r="K8" s="94">
        <v>0</v>
      </c>
      <c r="L8" s="94">
        <v>139.78491666666667</v>
      </c>
      <c r="M8" s="94">
        <v>327.95695833333332</v>
      </c>
      <c r="N8" s="94">
        <v>327.95695833333332</v>
      </c>
    </row>
    <row r="9" spans="1:14" x14ac:dyDescent="0.3">
      <c r="A9" s="76" t="s">
        <v>92</v>
      </c>
      <c r="B9" s="17" t="s">
        <v>12</v>
      </c>
      <c r="C9" s="94">
        <v>575</v>
      </c>
      <c r="D9" s="94">
        <v>575</v>
      </c>
      <c r="E9" s="94">
        <v>575</v>
      </c>
      <c r="F9" s="94">
        <v>575</v>
      </c>
      <c r="G9" s="94">
        <v>2958.3333333333335</v>
      </c>
      <c r="H9" s="94">
        <v>2958.3333333333335</v>
      </c>
      <c r="I9" s="94">
        <v>2958.3333333333335</v>
      </c>
      <c r="J9" s="94">
        <v>3266.1289999999999</v>
      </c>
      <c r="K9" s="94">
        <v>5916.666666666667</v>
      </c>
      <c r="L9" s="94">
        <v>5916.666666666667</v>
      </c>
      <c r="M9" s="94">
        <v>5916.666666666667</v>
      </c>
      <c r="N9" s="94">
        <v>5916.666666666667</v>
      </c>
    </row>
    <row r="10" spans="1:14" x14ac:dyDescent="0.3">
      <c r="A10" s="76" t="s">
        <v>92</v>
      </c>
      <c r="B10" s="17" t="s">
        <v>13</v>
      </c>
      <c r="C10" s="94">
        <v>0</v>
      </c>
      <c r="D10" s="94">
        <v>299.52490297769617</v>
      </c>
      <c r="E10" s="94">
        <v>2767.645088321126</v>
      </c>
      <c r="F10" s="94">
        <v>2767.645088321126</v>
      </c>
      <c r="G10" s="94">
        <v>0</v>
      </c>
      <c r="H10" s="94">
        <v>505.55554166666673</v>
      </c>
      <c r="I10" s="94">
        <v>1126.3888749999999</v>
      </c>
      <c r="J10" s="94">
        <v>1126.3888749999999</v>
      </c>
      <c r="K10" s="94">
        <v>0</v>
      </c>
      <c r="L10" s="94">
        <v>213.70966666666666</v>
      </c>
      <c r="M10" s="94">
        <v>1974.7023749999998</v>
      </c>
      <c r="N10" s="94">
        <v>1974.7023749999998</v>
      </c>
    </row>
    <row r="11" spans="1:14" x14ac:dyDescent="0.3">
      <c r="A11" s="76" t="s">
        <v>92</v>
      </c>
      <c r="B11" s="17" t="s">
        <v>14</v>
      </c>
      <c r="C11" s="94">
        <v>2315.6998719539038</v>
      </c>
      <c r="D11" s="94">
        <v>2315.6998719539038</v>
      </c>
      <c r="E11" s="94">
        <v>2315.6998719539038</v>
      </c>
      <c r="F11" s="94">
        <v>6800</v>
      </c>
      <c r="G11" s="94">
        <v>333.33333333333331</v>
      </c>
      <c r="H11" s="94">
        <v>1666.6666666666667</v>
      </c>
      <c r="I11" s="94">
        <v>1666.6666666666667</v>
      </c>
      <c r="J11" s="94">
        <v>7483.9967916666665</v>
      </c>
      <c r="K11" s="94">
        <v>333.33333333333331</v>
      </c>
      <c r="L11" s="94">
        <v>1666.6666666666667</v>
      </c>
      <c r="M11" s="94">
        <v>1666.6666666666667</v>
      </c>
      <c r="N11" s="94">
        <v>5027.7424999999994</v>
      </c>
    </row>
    <row r="12" spans="1:14" x14ac:dyDescent="0.3">
      <c r="A12" s="76" t="s">
        <v>92</v>
      </c>
      <c r="B12" s="17" t="s">
        <v>15</v>
      </c>
      <c r="C12" s="94">
        <v>1900</v>
      </c>
      <c r="D12" s="94">
        <v>1900</v>
      </c>
      <c r="E12" s="94">
        <v>1900</v>
      </c>
      <c r="F12" s="94">
        <v>2480.9704229405943</v>
      </c>
      <c r="G12" s="94">
        <v>1458.3333333333333</v>
      </c>
      <c r="H12" s="94">
        <v>1458.3333333333333</v>
      </c>
      <c r="I12" s="94">
        <v>1458.3333333333333</v>
      </c>
      <c r="J12" s="94">
        <v>1458.3333333333333</v>
      </c>
      <c r="K12" s="94">
        <v>1458.3333333333333</v>
      </c>
      <c r="L12" s="94">
        <v>1458.3333333333333</v>
      </c>
      <c r="M12" s="94">
        <v>1458.3333333333333</v>
      </c>
      <c r="N12" s="94">
        <v>1770.1612500000001</v>
      </c>
    </row>
    <row r="13" spans="1:14" x14ac:dyDescent="0.3">
      <c r="A13" s="76" t="s">
        <v>92</v>
      </c>
      <c r="B13" s="17" t="s">
        <v>16</v>
      </c>
      <c r="C13" s="94">
        <v>0</v>
      </c>
      <c r="D13" s="94">
        <v>0</v>
      </c>
      <c r="E13" s="94">
        <v>1193.1710414055349</v>
      </c>
      <c r="F13" s="94">
        <v>1193.1710414055349</v>
      </c>
      <c r="G13" s="94">
        <v>0</v>
      </c>
      <c r="H13" s="94">
        <v>0</v>
      </c>
      <c r="I13" s="94">
        <v>509.40858333333341</v>
      </c>
      <c r="J13" s="94">
        <v>509.40858333333341</v>
      </c>
      <c r="K13" s="94">
        <v>0</v>
      </c>
      <c r="L13" s="94">
        <v>0</v>
      </c>
      <c r="M13" s="94">
        <v>509.40858333333341</v>
      </c>
      <c r="N13" s="94">
        <v>509.40858333333341</v>
      </c>
    </row>
    <row r="14" spans="1:14" x14ac:dyDescent="0.3">
      <c r="A14" s="76" t="s">
        <v>92</v>
      </c>
      <c r="B14" s="17" t="s">
        <v>17</v>
      </c>
      <c r="C14" s="94">
        <v>0</v>
      </c>
      <c r="D14" s="94">
        <v>1270.6240907650119</v>
      </c>
      <c r="E14" s="94">
        <v>3442.7225351773018</v>
      </c>
      <c r="F14" s="94">
        <v>6944.9637781198271</v>
      </c>
      <c r="G14" s="94">
        <v>0</v>
      </c>
      <c r="H14" s="94">
        <v>432.79566666666665</v>
      </c>
      <c r="I14" s="94">
        <v>1260.7526666666665</v>
      </c>
      <c r="J14" s="94">
        <v>2206.9892083333334</v>
      </c>
      <c r="K14" s="94">
        <v>0</v>
      </c>
      <c r="L14" s="94">
        <v>638.44083333333333</v>
      </c>
      <c r="M14" s="94">
        <v>1729.8387083333332</v>
      </c>
      <c r="N14" s="94">
        <v>3489.5833333333335</v>
      </c>
    </row>
    <row r="15" spans="1:14" x14ac:dyDescent="0.3">
      <c r="A15" s="76" t="s">
        <v>92</v>
      </c>
      <c r="B15" s="17" t="s">
        <v>18</v>
      </c>
      <c r="C15" s="94">
        <v>0</v>
      </c>
      <c r="D15" s="94">
        <v>177.27945180378239</v>
      </c>
      <c r="E15" s="94">
        <v>482.7562797095066</v>
      </c>
      <c r="F15" s="94">
        <v>833.14390224037493</v>
      </c>
      <c r="G15" s="94">
        <v>0</v>
      </c>
      <c r="H15" s="94">
        <v>115.27775</v>
      </c>
      <c r="I15" s="94">
        <v>312.5</v>
      </c>
      <c r="J15" s="94">
        <v>532.25804166666671</v>
      </c>
      <c r="K15" s="94">
        <v>0</v>
      </c>
      <c r="L15" s="94">
        <v>126.48808333333334</v>
      </c>
      <c r="M15" s="94">
        <v>344.44441666666671</v>
      </c>
      <c r="N15" s="94">
        <v>594.44441666666671</v>
      </c>
    </row>
    <row r="16" spans="1:14" x14ac:dyDescent="0.3">
      <c r="A16" s="76" t="s">
        <v>92</v>
      </c>
      <c r="B16" s="17" t="s">
        <v>19</v>
      </c>
      <c r="C16" s="94">
        <v>0</v>
      </c>
      <c r="D16" s="94">
        <v>0</v>
      </c>
      <c r="E16" s="94">
        <v>5180</v>
      </c>
      <c r="F16" s="94">
        <v>9841</v>
      </c>
      <c r="G16" s="94">
        <v>0</v>
      </c>
      <c r="H16" s="94">
        <v>0</v>
      </c>
      <c r="I16" s="94">
        <v>2005.0142499999999</v>
      </c>
      <c r="J16" s="94">
        <v>6117.536208333333</v>
      </c>
      <c r="K16" s="94">
        <v>0</v>
      </c>
      <c r="L16" s="94">
        <v>0</v>
      </c>
      <c r="M16" s="94">
        <v>3204.0386250000001</v>
      </c>
      <c r="N16" s="94">
        <v>6087.054916666666</v>
      </c>
    </row>
    <row r="17" spans="1:14" x14ac:dyDescent="0.3">
      <c r="A17" s="76" t="s">
        <v>92</v>
      </c>
      <c r="B17" s="17" t="s">
        <v>20</v>
      </c>
      <c r="C17" s="94">
        <v>0</v>
      </c>
      <c r="D17" s="94">
        <v>0</v>
      </c>
      <c r="E17" s="94">
        <v>798.73307433466607</v>
      </c>
      <c r="F17" s="94">
        <v>798.73307433466607</v>
      </c>
      <c r="G17" s="94">
        <v>0</v>
      </c>
      <c r="H17" s="94">
        <v>0</v>
      </c>
      <c r="I17" s="94">
        <v>336.11108333333334</v>
      </c>
      <c r="J17" s="94">
        <v>336.11108333333334</v>
      </c>
      <c r="K17" s="94">
        <v>0</v>
      </c>
      <c r="L17" s="94">
        <v>0</v>
      </c>
      <c r="M17" s="94">
        <v>569.89245833333337</v>
      </c>
      <c r="N17" s="94">
        <v>569.89245833333337</v>
      </c>
    </row>
    <row r="18" spans="1:14" x14ac:dyDescent="0.3">
      <c r="A18" s="76" t="s">
        <v>92</v>
      </c>
      <c r="B18" s="17" t="s">
        <v>22</v>
      </c>
      <c r="C18" s="94">
        <v>0</v>
      </c>
      <c r="D18" s="94">
        <v>815.93406597435899</v>
      </c>
      <c r="E18" s="94">
        <v>2074.4416874358976</v>
      </c>
      <c r="F18" s="94">
        <v>2074.4416874358976</v>
      </c>
      <c r="G18" s="94">
        <v>0</v>
      </c>
      <c r="H18" s="94">
        <v>107.526875</v>
      </c>
      <c r="I18" s="94">
        <v>375</v>
      </c>
      <c r="J18" s="94">
        <v>375</v>
      </c>
      <c r="K18" s="94">
        <v>0</v>
      </c>
      <c r="L18" s="94">
        <v>625</v>
      </c>
      <c r="M18" s="94">
        <v>625</v>
      </c>
      <c r="N18" s="94">
        <v>625</v>
      </c>
    </row>
    <row r="19" spans="1:14" x14ac:dyDescent="0.3">
      <c r="A19" s="76" t="s">
        <v>92</v>
      </c>
      <c r="B19" s="17" t="s">
        <v>24</v>
      </c>
      <c r="C19" s="94">
        <v>250</v>
      </c>
      <c r="D19" s="94">
        <v>500</v>
      </c>
      <c r="E19" s="94">
        <v>4250</v>
      </c>
      <c r="F19" s="94">
        <v>14750</v>
      </c>
      <c r="G19" s="94">
        <v>1000</v>
      </c>
      <c r="H19" s="94">
        <v>1000</v>
      </c>
      <c r="I19" s="94">
        <v>12000</v>
      </c>
      <c r="J19" s="94">
        <v>17000</v>
      </c>
      <c r="K19" s="94">
        <v>1000</v>
      </c>
      <c r="L19" s="94">
        <v>1000</v>
      </c>
      <c r="M19" s="94">
        <v>12000</v>
      </c>
      <c r="N19" s="94">
        <v>17000</v>
      </c>
    </row>
    <row r="20" spans="1:14" x14ac:dyDescent="0.3">
      <c r="A20" s="76" t="s">
        <v>92</v>
      </c>
      <c r="B20" s="17" t="s">
        <v>25</v>
      </c>
      <c r="C20" s="94">
        <v>0</v>
      </c>
      <c r="D20" s="94">
        <v>0</v>
      </c>
      <c r="E20" s="94">
        <v>127</v>
      </c>
      <c r="F20" s="94">
        <v>127</v>
      </c>
      <c r="G20" s="94">
        <v>0</v>
      </c>
      <c r="H20" s="94">
        <v>0</v>
      </c>
      <c r="I20" s="94">
        <v>541.66666666666663</v>
      </c>
      <c r="J20" s="94">
        <v>708.33333333333337</v>
      </c>
      <c r="K20" s="94">
        <v>0</v>
      </c>
      <c r="L20" s="94">
        <v>41.666666666666664</v>
      </c>
      <c r="M20" s="94">
        <v>541.66666666666663</v>
      </c>
      <c r="N20" s="94">
        <v>708.33333333333337</v>
      </c>
    </row>
    <row r="21" spans="1:14" x14ac:dyDescent="0.3">
      <c r="A21" s="76" t="s">
        <v>92</v>
      </c>
      <c r="B21" s="17" t="s">
        <v>26</v>
      </c>
      <c r="C21" s="94">
        <v>0</v>
      </c>
      <c r="D21" s="94">
        <v>106.18279570833333</v>
      </c>
      <c r="E21" s="94">
        <v>118.05555554166666</v>
      </c>
      <c r="F21" s="94">
        <v>799.73118291666663</v>
      </c>
      <c r="G21" s="94">
        <v>0</v>
      </c>
      <c r="H21" s="94">
        <v>99.999999999999986</v>
      </c>
      <c r="I21" s="94">
        <v>106.18279166666666</v>
      </c>
      <c r="J21" s="94">
        <v>545.83333333333326</v>
      </c>
      <c r="K21" s="94">
        <v>0</v>
      </c>
      <c r="L21" s="94">
        <v>106.18279166666666</v>
      </c>
      <c r="M21" s="94">
        <v>118.05554166666667</v>
      </c>
      <c r="N21" s="94">
        <v>799.7311666666667</v>
      </c>
    </row>
    <row r="22" spans="1:14" x14ac:dyDescent="0.3">
      <c r="A22" s="76" t="s">
        <v>92</v>
      </c>
      <c r="B22" s="17" t="s">
        <v>27</v>
      </c>
      <c r="C22" s="94">
        <v>0</v>
      </c>
      <c r="D22" s="94">
        <v>1467.5539406796324</v>
      </c>
      <c r="E22" s="94">
        <v>3610.9962628022568</v>
      </c>
      <c r="F22" s="94">
        <v>4496.535207892357</v>
      </c>
      <c r="G22" s="94">
        <v>0</v>
      </c>
      <c r="H22" s="94">
        <v>432.79566666666665</v>
      </c>
      <c r="I22" s="94">
        <v>852.15050000000008</v>
      </c>
      <c r="J22" s="94">
        <v>1495.8333333333333</v>
      </c>
      <c r="K22" s="94">
        <v>0</v>
      </c>
      <c r="L22" s="94">
        <v>630.37633333333326</v>
      </c>
      <c r="M22" s="94">
        <v>1551.0752500000001</v>
      </c>
      <c r="N22" s="94">
        <v>1931.4515833333335</v>
      </c>
    </row>
    <row r="23" spans="1:14" x14ac:dyDescent="0.3">
      <c r="A23" s="76" t="s">
        <v>92</v>
      </c>
      <c r="B23" s="17" t="s">
        <v>28</v>
      </c>
      <c r="C23" s="94">
        <v>0</v>
      </c>
      <c r="D23" s="94">
        <v>261.68067222352937</v>
      </c>
      <c r="E23" s="94">
        <v>300.22770398823531</v>
      </c>
      <c r="F23" s="94">
        <v>312.1821632117647</v>
      </c>
      <c r="G23" s="94">
        <v>0</v>
      </c>
      <c r="H23" s="94">
        <v>715.27774999999997</v>
      </c>
      <c r="I23" s="94">
        <v>801.38887499999987</v>
      </c>
      <c r="J23" s="94">
        <v>997.22220833333347</v>
      </c>
      <c r="K23" s="94">
        <v>0</v>
      </c>
      <c r="L23" s="94">
        <v>1029.7618749999999</v>
      </c>
      <c r="M23" s="94">
        <v>1181.4515833333335</v>
      </c>
      <c r="N23" s="94">
        <v>1228.4945833333334</v>
      </c>
    </row>
    <row r="24" spans="1:14" x14ac:dyDescent="0.3">
      <c r="A24" s="76" t="s">
        <v>92</v>
      </c>
      <c r="B24" s="17" t="s">
        <v>29</v>
      </c>
      <c r="C24" s="94">
        <v>0</v>
      </c>
      <c r="D24" s="94">
        <v>39.627171600967081</v>
      </c>
      <c r="E24" s="94">
        <v>388.06371076217789</v>
      </c>
      <c r="F24" s="94">
        <v>420.08838593690467</v>
      </c>
      <c r="G24" s="94">
        <v>0</v>
      </c>
      <c r="H24" s="94">
        <v>22.849458333333331</v>
      </c>
      <c r="I24" s="94">
        <v>283.602125</v>
      </c>
      <c r="J24" s="94">
        <v>299.73116666666664</v>
      </c>
      <c r="K24" s="94">
        <v>0</v>
      </c>
      <c r="L24" s="94">
        <v>28.273791666666668</v>
      </c>
      <c r="M24" s="94">
        <v>276.88170833333334</v>
      </c>
      <c r="N24" s="94">
        <v>299.73116666666664</v>
      </c>
    </row>
    <row r="25" spans="1:14" x14ac:dyDescent="0.3">
      <c r="A25" s="76" t="s">
        <v>92</v>
      </c>
      <c r="B25" s="17" t="s">
        <v>30</v>
      </c>
      <c r="C25" s="94">
        <v>2.1532620419472694</v>
      </c>
      <c r="D25" s="94">
        <v>652.92461916763443</v>
      </c>
      <c r="E25" s="94">
        <v>2452.7441207584016</v>
      </c>
      <c r="F25" s="94">
        <v>2452.7441207584016</v>
      </c>
      <c r="G25" s="94">
        <v>337.49999999999994</v>
      </c>
      <c r="H25" s="94">
        <v>337.91666666666663</v>
      </c>
      <c r="I25" s="94">
        <v>1044.3548333333335</v>
      </c>
      <c r="J25" s="94">
        <v>1044.3548333333335</v>
      </c>
      <c r="K25" s="94">
        <v>629.16666666666663</v>
      </c>
      <c r="L25" s="94">
        <v>629.16666666666663</v>
      </c>
      <c r="M25" s="94">
        <v>1156.25</v>
      </c>
      <c r="N25" s="94">
        <v>1156.25</v>
      </c>
    </row>
    <row r="26" spans="1:14" x14ac:dyDescent="0.3">
      <c r="A26" s="76" t="s">
        <v>92</v>
      </c>
      <c r="B26" s="17" t="s">
        <v>32</v>
      </c>
      <c r="C26" s="94">
        <v>0</v>
      </c>
      <c r="D26" s="94">
        <v>538.64218349884459</v>
      </c>
      <c r="E26" s="94">
        <v>2627.7684092186623</v>
      </c>
      <c r="F26" s="94">
        <v>3139.8020997664107</v>
      </c>
      <c r="G26" s="94">
        <v>0</v>
      </c>
      <c r="H26" s="94">
        <v>827.95695833333343</v>
      </c>
      <c r="I26" s="94">
        <v>3852.1505000000002</v>
      </c>
      <c r="J26" s="94">
        <v>5321.2365416666671</v>
      </c>
      <c r="K26" s="94">
        <v>0</v>
      </c>
      <c r="L26" s="94">
        <v>1114.5833333333333</v>
      </c>
      <c r="M26" s="94">
        <v>5437.5</v>
      </c>
      <c r="N26" s="94">
        <v>6497.0237916666665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151E7-F588-4DBA-A685-C2684F2CB008}">
  <sheetPr codeName="Sheet5"/>
  <dimension ref="A1:H77"/>
  <sheetViews>
    <sheetView topLeftCell="A31" workbookViewId="0">
      <selection activeCell="E15" sqref="E15"/>
    </sheetView>
  </sheetViews>
  <sheetFormatPr defaultRowHeight="14.4" x14ac:dyDescent="0.3"/>
  <cols>
    <col min="1" max="2" width="12.21875" bestFit="1" customWidth="1"/>
    <col min="3" max="3" width="15.77734375" bestFit="1" customWidth="1"/>
    <col min="4" max="4" width="23.109375" bestFit="1" customWidth="1"/>
    <col min="5" max="6" width="21.5546875" bestFit="1" customWidth="1"/>
    <col min="7" max="8" width="23.44140625" bestFit="1" customWidth="1"/>
    <col min="9" max="9" width="15.5546875" customWidth="1"/>
    <col min="10" max="10" width="10.77734375" customWidth="1"/>
    <col min="11" max="11" width="31.77734375" customWidth="1"/>
    <col min="12" max="12" width="9" bestFit="1" customWidth="1"/>
    <col min="13" max="13" width="30.5546875" customWidth="1"/>
    <col min="14" max="14" width="24.77734375" customWidth="1"/>
    <col min="15" max="15" width="16.6640625" customWidth="1"/>
    <col min="16" max="16" width="19" customWidth="1"/>
  </cols>
  <sheetData>
    <row r="1" spans="1:8" s="1" customFormat="1" x14ac:dyDescent="0.3">
      <c r="A1" s="88" t="s">
        <v>3</v>
      </c>
      <c r="B1" s="88" t="s">
        <v>1</v>
      </c>
      <c r="C1" s="88" t="s">
        <v>41</v>
      </c>
      <c r="D1" s="88" t="s">
        <v>134</v>
      </c>
      <c r="E1" s="88" t="s">
        <v>93</v>
      </c>
      <c r="F1" s="88" t="s">
        <v>94</v>
      </c>
      <c r="G1" s="88" t="s">
        <v>95</v>
      </c>
      <c r="H1" s="88" t="s">
        <v>96</v>
      </c>
    </row>
    <row r="2" spans="1:8" x14ac:dyDescent="0.3">
      <c r="A2" s="74" t="s">
        <v>4</v>
      </c>
      <c r="B2" s="74" t="s">
        <v>9</v>
      </c>
      <c r="C2">
        <v>150</v>
      </c>
      <c r="D2">
        <v>1.93</v>
      </c>
      <c r="E2">
        <v>0</v>
      </c>
      <c r="F2">
        <v>0</v>
      </c>
    </row>
    <row r="3" spans="1:8" x14ac:dyDescent="0.3">
      <c r="A3" s="74" t="s">
        <v>4</v>
      </c>
      <c r="B3" s="74" t="s">
        <v>19</v>
      </c>
      <c r="C3">
        <v>126</v>
      </c>
      <c r="D3">
        <v>2.14</v>
      </c>
      <c r="E3">
        <v>93</v>
      </c>
      <c r="F3">
        <v>72</v>
      </c>
      <c r="G3">
        <v>2.3149000000000002</v>
      </c>
      <c r="H3">
        <v>2.1122000000000001</v>
      </c>
    </row>
    <row r="4" spans="1:8" x14ac:dyDescent="0.3">
      <c r="A4" s="74" t="s">
        <v>4</v>
      </c>
      <c r="B4" s="74" t="s">
        <v>30</v>
      </c>
      <c r="C4">
        <v>144</v>
      </c>
      <c r="D4">
        <v>0.24</v>
      </c>
      <c r="E4">
        <v>12</v>
      </c>
      <c r="F4">
        <v>107.136</v>
      </c>
      <c r="G4">
        <v>0.89949999999999997</v>
      </c>
      <c r="H4">
        <v>0.58020000000000005</v>
      </c>
    </row>
    <row r="5" spans="1:8" x14ac:dyDescent="0.3">
      <c r="A5" s="74" t="s">
        <v>5</v>
      </c>
      <c r="B5" s="74" t="s">
        <v>14</v>
      </c>
      <c r="C5">
        <v>108</v>
      </c>
      <c r="D5">
        <v>2.0699999999999998</v>
      </c>
      <c r="E5">
        <v>13.992000000000001</v>
      </c>
      <c r="F5">
        <v>26.76</v>
      </c>
      <c r="G5">
        <v>1.7990999999999999</v>
      </c>
      <c r="H5">
        <v>18.093800000000002</v>
      </c>
    </row>
    <row r="6" spans="1:8" x14ac:dyDescent="0.3">
      <c r="A6" s="74" t="s">
        <v>5</v>
      </c>
      <c r="B6" s="74" t="s">
        <v>9</v>
      </c>
      <c r="C6">
        <v>91</v>
      </c>
      <c r="D6">
        <v>3.65</v>
      </c>
      <c r="E6">
        <v>91.992000000000004</v>
      </c>
      <c r="F6">
        <v>20.591999999999999</v>
      </c>
      <c r="G6">
        <v>0.9294</v>
      </c>
      <c r="H6">
        <v>3.5621999999999998</v>
      </c>
    </row>
    <row r="7" spans="1:8" x14ac:dyDescent="0.3">
      <c r="A7" s="74" t="s">
        <v>5</v>
      </c>
      <c r="B7" s="74" t="s">
        <v>24</v>
      </c>
      <c r="C7">
        <v>48</v>
      </c>
      <c r="D7">
        <v>2.14</v>
      </c>
      <c r="E7">
        <v>199.99199999999999</v>
      </c>
      <c r="F7">
        <v>0</v>
      </c>
      <c r="G7">
        <v>0.32619999999999999</v>
      </c>
    </row>
    <row r="8" spans="1:8" x14ac:dyDescent="0.3">
      <c r="A8" s="74" t="s">
        <v>6</v>
      </c>
      <c r="B8" s="74" t="s">
        <v>15</v>
      </c>
      <c r="C8">
        <v>79.92</v>
      </c>
      <c r="D8">
        <v>8.0299999999999994</v>
      </c>
      <c r="E8">
        <v>16.007999999999999</v>
      </c>
      <c r="F8">
        <v>0</v>
      </c>
      <c r="G8">
        <v>0.73540000000000005</v>
      </c>
    </row>
    <row r="9" spans="1:8" x14ac:dyDescent="0.3">
      <c r="A9" s="74" t="s">
        <v>6</v>
      </c>
      <c r="B9" s="74" t="s">
        <v>27</v>
      </c>
      <c r="C9">
        <v>17.760000000000002</v>
      </c>
      <c r="D9">
        <v>1.25</v>
      </c>
      <c r="E9">
        <v>30</v>
      </c>
      <c r="F9">
        <v>0</v>
      </c>
      <c r="G9">
        <v>1.4550000000000001</v>
      </c>
    </row>
    <row r="10" spans="1:8" x14ac:dyDescent="0.3">
      <c r="A10" s="74" t="s">
        <v>45</v>
      </c>
      <c r="B10" s="74" t="s">
        <v>19</v>
      </c>
      <c r="C10">
        <v>135</v>
      </c>
      <c r="D10">
        <v>2.3199999999999998</v>
      </c>
      <c r="E10">
        <v>0</v>
      </c>
      <c r="F10">
        <v>0</v>
      </c>
    </row>
    <row r="11" spans="1:8" x14ac:dyDescent="0.3">
      <c r="A11" s="74" t="s">
        <v>8</v>
      </c>
      <c r="B11" s="74" t="s">
        <v>9</v>
      </c>
      <c r="C11">
        <v>144</v>
      </c>
      <c r="D11">
        <v>0.92</v>
      </c>
      <c r="E11">
        <v>244.00800000000001</v>
      </c>
      <c r="F11">
        <v>0</v>
      </c>
      <c r="G11">
        <v>0.4027</v>
      </c>
    </row>
    <row r="12" spans="1:8" x14ac:dyDescent="0.3">
      <c r="A12" s="74" t="s">
        <v>10</v>
      </c>
      <c r="B12" s="74" t="s">
        <v>9</v>
      </c>
      <c r="C12">
        <v>50.4</v>
      </c>
      <c r="D12">
        <v>1.5</v>
      </c>
      <c r="E12">
        <v>168</v>
      </c>
      <c r="F12">
        <v>0</v>
      </c>
      <c r="G12">
        <v>0.76459999999999995</v>
      </c>
    </row>
    <row r="13" spans="1:8" x14ac:dyDescent="0.3">
      <c r="A13" s="74" t="s">
        <v>11</v>
      </c>
      <c r="B13" s="74" t="s">
        <v>13</v>
      </c>
      <c r="C13">
        <v>100</v>
      </c>
      <c r="D13">
        <v>0.77</v>
      </c>
      <c r="E13">
        <v>367.99200000000002</v>
      </c>
      <c r="F13">
        <v>0</v>
      </c>
      <c r="G13">
        <v>0.58740000000000003</v>
      </c>
    </row>
    <row r="14" spans="1:8" x14ac:dyDescent="0.3">
      <c r="A14" s="74" t="s">
        <v>11</v>
      </c>
      <c r="B14" s="74" t="s">
        <v>22</v>
      </c>
      <c r="C14">
        <v>200</v>
      </c>
      <c r="D14">
        <v>1.48</v>
      </c>
      <c r="E14">
        <v>0</v>
      </c>
      <c r="F14">
        <v>48</v>
      </c>
      <c r="H14">
        <v>0.48720000000000002</v>
      </c>
    </row>
    <row r="15" spans="1:8" x14ac:dyDescent="0.3">
      <c r="A15" s="74" t="s">
        <v>13</v>
      </c>
      <c r="B15" s="74" t="s">
        <v>11</v>
      </c>
      <c r="C15">
        <v>200</v>
      </c>
      <c r="D15">
        <v>0.77</v>
      </c>
      <c r="E15">
        <v>4.992</v>
      </c>
      <c r="F15">
        <v>0</v>
      </c>
      <c r="G15">
        <v>0.58740000000000003</v>
      </c>
    </row>
    <row r="16" spans="1:8" x14ac:dyDescent="0.3">
      <c r="A16" s="74" t="s">
        <v>13</v>
      </c>
      <c r="B16" s="74" t="s">
        <v>9</v>
      </c>
      <c r="C16">
        <v>504</v>
      </c>
      <c r="D16">
        <v>3.53</v>
      </c>
      <c r="E16">
        <v>0</v>
      </c>
      <c r="F16">
        <v>0</v>
      </c>
    </row>
    <row r="17" spans="1:8" x14ac:dyDescent="0.3">
      <c r="A17" s="74" t="s">
        <v>13</v>
      </c>
      <c r="B17" s="74" t="s">
        <v>28</v>
      </c>
      <c r="C17">
        <v>504</v>
      </c>
      <c r="D17">
        <v>1.61</v>
      </c>
      <c r="E17">
        <v>19.992000000000001</v>
      </c>
      <c r="F17">
        <v>0</v>
      </c>
      <c r="G17">
        <v>5.5000999999999998</v>
      </c>
    </row>
    <row r="18" spans="1:8" x14ac:dyDescent="0.3">
      <c r="A18" s="74" t="s">
        <v>14</v>
      </c>
      <c r="B18" s="74" t="s">
        <v>5</v>
      </c>
      <c r="C18">
        <v>108</v>
      </c>
      <c r="D18">
        <v>2.0699999999999998</v>
      </c>
      <c r="E18">
        <v>13.992000000000001</v>
      </c>
      <c r="F18">
        <v>0</v>
      </c>
      <c r="G18">
        <v>1.7990999999999999</v>
      </c>
      <c r="H18">
        <v>18.093800000000002</v>
      </c>
    </row>
    <row r="19" spans="1:8" x14ac:dyDescent="0.3">
      <c r="A19" s="74" t="s">
        <v>14</v>
      </c>
      <c r="B19" s="74" t="s">
        <v>9</v>
      </c>
      <c r="C19">
        <v>204</v>
      </c>
      <c r="D19">
        <v>2.29</v>
      </c>
      <c r="E19">
        <v>19.608000000000001</v>
      </c>
      <c r="F19">
        <v>0</v>
      </c>
      <c r="G19">
        <v>2.93</v>
      </c>
    </row>
    <row r="20" spans="1:8" x14ac:dyDescent="0.3">
      <c r="A20" s="74" t="s">
        <v>14</v>
      </c>
      <c r="B20" s="74" t="s">
        <v>12</v>
      </c>
      <c r="C20">
        <v>216</v>
      </c>
      <c r="D20">
        <v>9.2200000000000006</v>
      </c>
      <c r="E20">
        <v>0</v>
      </c>
      <c r="F20">
        <v>0</v>
      </c>
    </row>
    <row r="21" spans="1:8" x14ac:dyDescent="0.3">
      <c r="A21" s="74" t="s">
        <v>9</v>
      </c>
      <c r="B21" s="74" t="s">
        <v>4</v>
      </c>
      <c r="C21">
        <v>150</v>
      </c>
      <c r="D21">
        <v>1.93</v>
      </c>
      <c r="E21">
        <v>0</v>
      </c>
      <c r="F21">
        <v>0</v>
      </c>
    </row>
    <row r="22" spans="1:8" x14ac:dyDescent="0.3">
      <c r="A22" s="74" t="s">
        <v>9</v>
      </c>
      <c r="B22" s="74" t="s">
        <v>5</v>
      </c>
      <c r="C22">
        <v>91</v>
      </c>
      <c r="D22">
        <v>3.65</v>
      </c>
      <c r="E22">
        <v>91.992000000000004</v>
      </c>
      <c r="F22">
        <v>20.591999999999999</v>
      </c>
      <c r="G22">
        <v>0.9294</v>
      </c>
      <c r="H22">
        <v>3.5621999999999998</v>
      </c>
    </row>
    <row r="23" spans="1:8" x14ac:dyDescent="0.3">
      <c r="A23" s="74" t="s">
        <v>9</v>
      </c>
      <c r="B23" s="74" t="s">
        <v>8</v>
      </c>
      <c r="C23">
        <v>144</v>
      </c>
      <c r="D23">
        <v>0.92</v>
      </c>
      <c r="E23">
        <v>244.00800000000001</v>
      </c>
      <c r="F23">
        <v>0</v>
      </c>
      <c r="G23">
        <v>0.4027</v>
      </c>
    </row>
    <row r="24" spans="1:8" x14ac:dyDescent="0.3">
      <c r="A24" s="74" t="s">
        <v>9</v>
      </c>
      <c r="B24" s="74" t="s">
        <v>10</v>
      </c>
      <c r="C24">
        <v>50.4</v>
      </c>
      <c r="D24">
        <v>1.5</v>
      </c>
      <c r="E24">
        <v>168</v>
      </c>
      <c r="F24">
        <v>0</v>
      </c>
      <c r="G24">
        <v>0.76459999999999995</v>
      </c>
    </row>
    <row r="25" spans="1:8" x14ac:dyDescent="0.3">
      <c r="A25" s="74" t="s">
        <v>9</v>
      </c>
      <c r="B25" s="74" t="s">
        <v>13</v>
      </c>
      <c r="C25">
        <v>504</v>
      </c>
      <c r="D25">
        <v>3.53</v>
      </c>
      <c r="E25">
        <v>0</v>
      </c>
      <c r="F25">
        <v>0</v>
      </c>
    </row>
    <row r="26" spans="1:8" x14ac:dyDescent="0.3">
      <c r="A26" s="74" t="s">
        <v>9</v>
      </c>
      <c r="B26" s="74" t="s">
        <v>14</v>
      </c>
      <c r="C26">
        <v>192</v>
      </c>
      <c r="D26">
        <v>2.29</v>
      </c>
      <c r="E26">
        <v>19.608000000000001</v>
      </c>
      <c r="F26">
        <v>0</v>
      </c>
      <c r="G26">
        <v>2.93</v>
      </c>
    </row>
    <row r="27" spans="1:8" x14ac:dyDescent="0.3">
      <c r="A27" s="74" t="s">
        <v>9</v>
      </c>
      <c r="B27" s="74" t="s">
        <v>24</v>
      </c>
      <c r="C27">
        <v>12</v>
      </c>
      <c r="D27">
        <v>1.45</v>
      </c>
      <c r="E27">
        <v>7.944</v>
      </c>
      <c r="F27">
        <v>0</v>
      </c>
      <c r="G27">
        <v>3.5621999999999998</v>
      </c>
    </row>
    <row r="28" spans="1:8" x14ac:dyDescent="0.3">
      <c r="A28" s="74" t="s">
        <v>9</v>
      </c>
      <c r="B28" s="74" t="s">
        <v>25</v>
      </c>
      <c r="C28">
        <v>100</v>
      </c>
      <c r="D28">
        <v>2.4</v>
      </c>
      <c r="E28">
        <v>19.608000000000001</v>
      </c>
      <c r="F28">
        <v>0</v>
      </c>
      <c r="G28">
        <v>3.7780999999999998</v>
      </c>
    </row>
    <row r="29" spans="1:8" x14ac:dyDescent="0.3">
      <c r="A29" s="74" t="s">
        <v>15</v>
      </c>
      <c r="B29" s="74" t="s">
        <v>6</v>
      </c>
      <c r="C29">
        <v>75.599999999999994</v>
      </c>
      <c r="D29">
        <v>8.0299999999999994</v>
      </c>
      <c r="E29">
        <v>33</v>
      </c>
      <c r="F29">
        <v>0</v>
      </c>
      <c r="G29">
        <v>0.73540000000000005</v>
      </c>
    </row>
    <row r="30" spans="1:8" x14ac:dyDescent="0.3">
      <c r="A30" s="74" t="s">
        <v>17</v>
      </c>
      <c r="B30" s="74" t="s">
        <v>27</v>
      </c>
      <c r="C30">
        <v>76.8</v>
      </c>
      <c r="D30">
        <v>5.96</v>
      </c>
      <c r="E30">
        <v>89.591999999999999</v>
      </c>
      <c r="F30">
        <v>0</v>
      </c>
      <c r="G30">
        <v>1.4757</v>
      </c>
    </row>
    <row r="31" spans="1:8" x14ac:dyDescent="0.3">
      <c r="A31" s="74" t="s">
        <v>17</v>
      </c>
      <c r="B31" s="74" t="s">
        <v>30</v>
      </c>
      <c r="C31">
        <v>100</v>
      </c>
      <c r="D31">
        <v>2.41</v>
      </c>
      <c r="E31">
        <v>0</v>
      </c>
      <c r="F31">
        <v>319.99200000000002</v>
      </c>
      <c r="H31">
        <v>5.4368999999999996</v>
      </c>
    </row>
    <row r="32" spans="1:8" x14ac:dyDescent="0.3">
      <c r="A32" s="74" t="s">
        <v>19</v>
      </c>
      <c r="B32" s="74" t="s">
        <v>4</v>
      </c>
      <c r="C32">
        <v>168</v>
      </c>
      <c r="D32">
        <v>2.14</v>
      </c>
      <c r="E32">
        <v>0</v>
      </c>
      <c r="F32">
        <v>72</v>
      </c>
      <c r="G32">
        <v>2.3149000000000002</v>
      </c>
      <c r="H32">
        <v>2.1122000000000001</v>
      </c>
    </row>
    <row r="33" spans="1:8" x14ac:dyDescent="0.3">
      <c r="A33" s="74" t="s">
        <v>19</v>
      </c>
      <c r="B33" s="74" t="s">
        <v>45</v>
      </c>
      <c r="C33">
        <v>88</v>
      </c>
      <c r="D33">
        <v>2.3199999999999998</v>
      </c>
      <c r="E33">
        <v>0</v>
      </c>
      <c r="F33">
        <v>0</v>
      </c>
    </row>
    <row r="34" spans="1:8" x14ac:dyDescent="0.3">
      <c r="A34" s="74" t="s">
        <v>22</v>
      </c>
      <c r="B34" s="74" t="s">
        <v>11</v>
      </c>
      <c r="C34">
        <v>100</v>
      </c>
      <c r="D34">
        <v>1.48</v>
      </c>
      <c r="E34">
        <v>0</v>
      </c>
      <c r="F34">
        <v>48</v>
      </c>
      <c r="H34">
        <v>0.48720000000000002</v>
      </c>
    </row>
    <row r="35" spans="1:8" x14ac:dyDescent="0.3">
      <c r="A35" s="74" t="s">
        <v>22</v>
      </c>
      <c r="B35" s="74" t="s">
        <v>20</v>
      </c>
      <c r="C35">
        <v>200</v>
      </c>
      <c r="D35">
        <v>1.22</v>
      </c>
      <c r="E35">
        <v>0</v>
      </c>
      <c r="F35">
        <v>12.504</v>
      </c>
      <c r="H35">
        <v>4.8280000000000003</v>
      </c>
    </row>
    <row r="36" spans="1:8" x14ac:dyDescent="0.3">
      <c r="A36" s="74" t="s">
        <v>20</v>
      </c>
      <c r="B36" s="74" t="s">
        <v>22</v>
      </c>
      <c r="C36">
        <v>100</v>
      </c>
      <c r="D36">
        <v>1.22</v>
      </c>
      <c r="E36">
        <v>0</v>
      </c>
      <c r="F36">
        <v>8.0399999999999991</v>
      </c>
      <c r="H36">
        <v>4.8280000000000003</v>
      </c>
    </row>
    <row r="37" spans="1:8" x14ac:dyDescent="0.3">
      <c r="A37" s="74" t="s">
        <v>20</v>
      </c>
      <c r="B37" s="74" t="s">
        <v>25</v>
      </c>
      <c r="C37">
        <v>200</v>
      </c>
      <c r="D37">
        <v>1.9</v>
      </c>
      <c r="E37">
        <v>0</v>
      </c>
      <c r="F37">
        <v>28.704000000000001</v>
      </c>
      <c r="H37">
        <v>1.8582000000000001</v>
      </c>
    </row>
    <row r="38" spans="1:8" x14ac:dyDescent="0.3">
      <c r="A38" s="74" t="s">
        <v>24</v>
      </c>
      <c r="B38" s="74" t="s">
        <v>5</v>
      </c>
      <c r="C38">
        <v>48</v>
      </c>
      <c r="D38">
        <v>2.14</v>
      </c>
      <c r="E38">
        <v>199.99199999999999</v>
      </c>
      <c r="F38">
        <v>0</v>
      </c>
      <c r="G38">
        <v>0.32619999999999999</v>
      </c>
    </row>
    <row r="39" spans="1:8" x14ac:dyDescent="0.3">
      <c r="A39" s="74" t="s">
        <v>24</v>
      </c>
      <c r="B39" s="74" t="s">
        <v>9</v>
      </c>
      <c r="C39">
        <v>375</v>
      </c>
      <c r="D39">
        <v>1.49</v>
      </c>
      <c r="E39">
        <v>7.944</v>
      </c>
      <c r="F39">
        <v>0</v>
      </c>
      <c r="G39">
        <v>3.5621999999999998</v>
      </c>
    </row>
    <row r="40" spans="1:8" x14ac:dyDescent="0.3">
      <c r="A40" s="74" t="s">
        <v>25</v>
      </c>
      <c r="B40" s="74" t="s">
        <v>9</v>
      </c>
      <c r="C40">
        <v>200</v>
      </c>
      <c r="D40">
        <v>2.4</v>
      </c>
      <c r="E40">
        <v>19.608000000000001</v>
      </c>
      <c r="F40">
        <v>0</v>
      </c>
      <c r="G40">
        <v>3.7780999999999998</v>
      </c>
    </row>
    <row r="41" spans="1:8" x14ac:dyDescent="0.3">
      <c r="A41" s="74" t="s">
        <v>25</v>
      </c>
      <c r="B41" s="74" t="s">
        <v>20</v>
      </c>
      <c r="C41">
        <v>100</v>
      </c>
      <c r="D41">
        <v>1.9</v>
      </c>
      <c r="E41">
        <v>0</v>
      </c>
      <c r="F41">
        <v>28.704000000000001</v>
      </c>
      <c r="H41">
        <v>1.8582000000000001</v>
      </c>
    </row>
    <row r="42" spans="1:8" x14ac:dyDescent="0.3">
      <c r="A42" s="74" t="s">
        <v>26</v>
      </c>
      <c r="B42" s="74" t="s">
        <v>12</v>
      </c>
      <c r="C42">
        <v>81</v>
      </c>
      <c r="D42">
        <v>4.8</v>
      </c>
      <c r="E42">
        <v>0</v>
      </c>
      <c r="F42">
        <v>0</v>
      </c>
    </row>
    <row r="43" spans="1:8" x14ac:dyDescent="0.3">
      <c r="A43" s="74" t="s">
        <v>27</v>
      </c>
      <c r="B43" s="74" t="s">
        <v>6</v>
      </c>
      <c r="C43">
        <v>17.760000000000002</v>
      </c>
      <c r="D43">
        <v>1.25</v>
      </c>
      <c r="E43">
        <v>30</v>
      </c>
      <c r="F43">
        <v>0</v>
      </c>
      <c r="G43">
        <v>1.4550000000000001</v>
      </c>
    </row>
    <row r="44" spans="1:8" x14ac:dyDescent="0.3">
      <c r="A44" s="74" t="s">
        <v>27</v>
      </c>
      <c r="B44" s="74" t="s">
        <v>17</v>
      </c>
      <c r="C44">
        <v>76.8</v>
      </c>
      <c r="D44">
        <v>5.96</v>
      </c>
      <c r="E44">
        <v>0</v>
      </c>
      <c r="F44">
        <v>0</v>
      </c>
      <c r="G44">
        <v>1.4757</v>
      </c>
    </row>
    <row r="45" spans="1:8" x14ac:dyDescent="0.3">
      <c r="A45" s="74" t="s">
        <v>30</v>
      </c>
      <c r="B45" s="74" t="s">
        <v>4</v>
      </c>
      <c r="C45">
        <v>144</v>
      </c>
      <c r="D45">
        <v>0.24</v>
      </c>
      <c r="E45">
        <v>12</v>
      </c>
      <c r="F45">
        <v>27.143999999999998</v>
      </c>
      <c r="G45">
        <v>0.89949999999999997</v>
      </c>
      <c r="H45">
        <v>0.58020000000000005</v>
      </c>
    </row>
    <row r="46" spans="1:8" x14ac:dyDescent="0.3">
      <c r="A46" s="74" t="s">
        <v>30</v>
      </c>
      <c r="B46" s="74" t="s">
        <v>8</v>
      </c>
      <c r="C46">
        <v>144</v>
      </c>
      <c r="D46">
        <v>0.69</v>
      </c>
      <c r="E46">
        <v>51</v>
      </c>
      <c r="F46">
        <v>0</v>
      </c>
      <c r="G46">
        <v>2.7214</v>
      </c>
    </row>
    <row r="47" spans="1:8" x14ac:dyDescent="0.3">
      <c r="A47" s="74" t="s">
        <v>30</v>
      </c>
      <c r="B47" s="74" t="s">
        <v>17</v>
      </c>
      <c r="C47">
        <v>100</v>
      </c>
      <c r="D47">
        <v>2.41</v>
      </c>
      <c r="E47">
        <v>0</v>
      </c>
      <c r="F47">
        <v>0</v>
      </c>
      <c r="H47">
        <v>5.4368999999999996</v>
      </c>
    </row>
    <row r="48" spans="1:8" x14ac:dyDescent="0.3">
      <c r="A48" s="74" t="s">
        <v>12</v>
      </c>
      <c r="B48" s="74" t="s">
        <v>14</v>
      </c>
      <c r="C48">
        <v>216</v>
      </c>
      <c r="D48">
        <v>9.2200000000000006</v>
      </c>
      <c r="E48">
        <v>0</v>
      </c>
      <c r="F48">
        <v>0</v>
      </c>
    </row>
    <row r="49" spans="1:8" x14ac:dyDescent="0.3">
      <c r="A49" s="74" t="s">
        <v>12</v>
      </c>
      <c r="B49" s="74" t="s">
        <v>26</v>
      </c>
      <c r="C49">
        <v>81</v>
      </c>
      <c r="D49">
        <v>4.8</v>
      </c>
      <c r="E49">
        <v>0</v>
      </c>
      <c r="F49">
        <v>0</v>
      </c>
    </row>
    <row r="50" spans="1:8" x14ac:dyDescent="0.3">
      <c r="A50" s="74" t="s">
        <v>28</v>
      </c>
      <c r="B50" s="74" t="s">
        <v>13</v>
      </c>
      <c r="C50">
        <v>504</v>
      </c>
      <c r="D50">
        <v>1.61</v>
      </c>
      <c r="E50">
        <v>0</v>
      </c>
      <c r="F50">
        <v>0</v>
      </c>
      <c r="G50">
        <v>5.5000999999999998</v>
      </c>
    </row>
    <row r="51" spans="1:8" x14ac:dyDescent="0.3">
      <c r="A51" s="74" t="s">
        <v>4</v>
      </c>
      <c r="B51" s="74" t="s">
        <v>29</v>
      </c>
      <c r="C51">
        <v>0</v>
      </c>
      <c r="E51">
        <v>33</v>
      </c>
      <c r="F51">
        <v>179.208</v>
      </c>
      <c r="G51">
        <v>1.8963000000000001</v>
      </c>
      <c r="H51">
        <v>0.2979</v>
      </c>
    </row>
    <row r="52" spans="1:8" x14ac:dyDescent="0.3">
      <c r="A52" s="74" t="s">
        <v>29</v>
      </c>
      <c r="B52" s="74" t="s">
        <v>4</v>
      </c>
      <c r="C52">
        <v>0</v>
      </c>
      <c r="E52">
        <v>16.007999999999999</v>
      </c>
      <c r="F52">
        <v>178.99199999999999</v>
      </c>
      <c r="G52">
        <v>1.8963000000000001</v>
      </c>
      <c r="H52">
        <v>0.2979</v>
      </c>
    </row>
    <row r="53" spans="1:8" x14ac:dyDescent="0.3">
      <c r="A53" s="74" t="s">
        <v>5</v>
      </c>
      <c r="B53" s="74" t="s">
        <v>32</v>
      </c>
      <c r="C53">
        <v>0</v>
      </c>
      <c r="E53">
        <v>93</v>
      </c>
      <c r="F53">
        <v>0</v>
      </c>
      <c r="G53">
        <v>0.67869999999999997</v>
      </c>
    </row>
    <row r="54" spans="1:8" x14ac:dyDescent="0.3">
      <c r="A54" s="74" t="s">
        <v>32</v>
      </c>
      <c r="B54" s="74" t="s">
        <v>5</v>
      </c>
      <c r="C54">
        <v>0</v>
      </c>
      <c r="E54">
        <v>93</v>
      </c>
      <c r="F54">
        <v>0</v>
      </c>
      <c r="G54">
        <v>0.67869999999999997</v>
      </c>
    </row>
    <row r="55" spans="1:8" x14ac:dyDescent="0.3">
      <c r="A55" s="74" t="s">
        <v>48</v>
      </c>
      <c r="B55" s="74" t="s">
        <v>16</v>
      </c>
      <c r="C55">
        <v>0</v>
      </c>
      <c r="E55">
        <v>128.4</v>
      </c>
      <c r="F55">
        <v>0</v>
      </c>
      <c r="G55">
        <v>0.35270000000000001</v>
      </c>
    </row>
    <row r="56" spans="1:8" x14ac:dyDescent="0.3">
      <c r="A56" s="74" t="s">
        <v>16</v>
      </c>
      <c r="B56" s="74" t="s">
        <v>48</v>
      </c>
      <c r="C56">
        <v>0</v>
      </c>
      <c r="E56">
        <v>128.4</v>
      </c>
      <c r="F56">
        <v>0</v>
      </c>
      <c r="G56">
        <v>0.35270000000000001</v>
      </c>
    </row>
    <row r="57" spans="1:8" x14ac:dyDescent="0.3">
      <c r="A57" s="74" t="s">
        <v>16</v>
      </c>
      <c r="B57" s="74" t="s">
        <v>17</v>
      </c>
      <c r="C57">
        <v>0</v>
      </c>
      <c r="E57">
        <v>156</v>
      </c>
      <c r="F57">
        <v>0</v>
      </c>
      <c r="G57">
        <v>0.54269999999999996</v>
      </c>
    </row>
    <row r="58" spans="1:8" x14ac:dyDescent="0.3">
      <c r="A58" s="74" t="s">
        <v>17</v>
      </c>
      <c r="B58" s="74" t="s">
        <v>16</v>
      </c>
      <c r="C58">
        <v>0</v>
      </c>
      <c r="E58">
        <v>12</v>
      </c>
      <c r="F58">
        <v>0</v>
      </c>
      <c r="G58">
        <v>0.54269999999999996</v>
      </c>
    </row>
    <row r="59" spans="1:8" x14ac:dyDescent="0.3">
      <c r="A59" s="74" t="s">
        <v>16</v>
      </c>
      <c r="B59" s="74" t="s">
        <v>29</v>
      </c>
      <c r="C59">
        <v>0</v>
      </c>
      <c r="E59">
        <v>189.6</v>
      </c>
      <c r="F59">
        <v>0</v>
      </c>
      <c r="G59">
        <v>0.4093</v>
      </c>
    </row>
    <row r="60" spans="1:8" x14ac:dyDescent="0.3">
      <c r="A60" s="74" t="s">
        <v>29</v>
      </c>
      <c r="B60" s="74" t="s">
        <v>16</v>
      </c>
      <c r="C60">
        <v>0</v>
      </c>
      <c r="E60">
        <v>189.6</v>
      </c>
      <c r="F60">
        <v>0</v>
      </c>
      <c r="G60">
        <v>0.4093</v>
      </c>
    </row>
    <row r="61" spans="1:8" x14ac:dyDescent="0.3">
      <c r="A61" s="74" t="s">
        <v>16</v>
      </c>
      <c r="B61" s="74" t="s">
        <v>34</v>
      </c>
      <c r="C61">
        <v>0</v>
      </c>
      <c r="E61">
        <v>100.008</v>
      </c>
      <c r="F61">
        <v>0</v>
      </c>
      <c r="G61">
        <v>0.16719999999999999</v>
      </c>
    </row>
    <row r="62" spans="1:8" x14ac:dyDescent="0.3">
      <c r="A62" s="74" t="s">
        <v>34</v>
      </c>
      <c r="B62" s="74" t="s">
        <v>16</v>
      </c>
      <c r="C62">
        <v>0</v>
      </c>
      <c r="E62">
        <v>0</v>
      </c>
      <c r="F62">
        <v>0</v>
      </c>
      <c r="G62">
        <v>0.16719999999999999</v>
      </c>
    </row>
    <row r="63" spans="1:8" x14ac:dyDescent="0.3">
      <c r="A63" s="74" t="s">
        <v>8</v>
      </c>
      <c r="B63" s="74" t="s">
        <v>25</v>
      </c>
      <c r="C63">
        <v>0</v>
      </c>
      <c r="E63">
        <v>100.008</v>
      </c>
      <c r="F63">
        <v>0</v>
      </c>
      <c r="G63">
        <v>0.59530000000000005</v>
      </c>
    </row>
    <row r="64" spans="1:8" x14ac:dyDescent="0.3">
      <c r="A64" s="74" t="s">
        <v>25</v>
      </c>
      <c r="B64" s="74" t="s">
        <v>8</v>
      </c>
      <c r="C64">
        <v>0</v>
      </c>
      <c r="E64">
        <v>100.008</v>
      </c>
      <c r="F64">
        <v>0</v>
      </c>
      <c r="G64">
        <v>0.59530000000000005</v>
      </c>
    </row>
    <row r="65" spans="1:8" x14ac:dyDescent="0.3">
      <c r="A65" s="74" t="s">
        <v>8</v>
      </c>
      <c r="B65" s="74" t="s">
        <v>30</v>
      </c>
      <c r="C65">
        <v>0</v>
      </c>
      <c r="E65">
        <v>39</v>
      </c>
      <c r="F65">
        <v>0</v>
      </c>
      <c r="G65">
        <v>2.7214</v>
      </c>
    </row>
    <row r="66" spans="1:8" x14ac:dyDescent="0.3">
      <c r="A66" s="74" t="s">
        <v>14</v>
      </c>
      <c r="B66" s="74" t="s">
        <v>45</v>
      </c>
      <c r="C66">
        <v>0</v>
      </c>
      <c r="E66">
        <v>76.8</v>
      </c>
      <c r="F66">
        <v>0</v>
      </c>
      <c r="G66">
        <v>1.8136000000000001</v>
      </c>
    </row>
    <row r="67" spans="1:8" x14ac:dyDescent="0.3">
      <c r="A67" s="74" t="s">
        <v>45</v>
      </c>
      <c r="B67" s="74" t="s">
        <v>14</v>
      </c>
      <c r="C67">
        <v>0</v>
      </c>
      <c r="E67">
        <v>76.8</v>
      </c>
      <c r="F67">
        <v>0</v>
      </c>
      <c r="G67">
        <v>1.8136000000000001</v>
      </c>
    </row>
    <row r="68" spans="1:8" x14ac:dyDescent="0.3">
      <c r="A68" s="74" t="s">
        <v>9</v>
      </c>
      <c r="B68" s="74" t="s">
        <v>45</v>
      </c>
      <c r="C68">
        <v>0</v>
      </c>
      <c r="E68">
        <v>100.008</v>
      </c>
      <c r="F68">
        <v>0</v>
      </c>
      <c r="G68">
        <v>0.2049</v>
      </c>
    </row>
    <row r="69" spans="1:8" x14ac:dyDescent="0.3">
      <c r="A69" s="74" t="s">
        <v>45</v>
      </c>
      <c r="B69" s="74" t="s">
        <v>9</v>
      </c>
      <c r="C69">
        <v>0</v>
      </c>
      <c r="E69">
        <v>100.008</v>
      </c>
      <c r="F69">
        <v>0</v>
      </c>
      <c r="G69">
        <v>0.2049</v>
      </c>
    </row>
    <row r="70" spans="1:8" x14ac:dyDescent="0.3">
      <c r="A70" s="74" t="s">
        <v>17</v>
      </c>
      <c r="B70" s="74" t="s">
        <v>29</v>
      </c>
      <c r="C70">
        <v>0</v>
      </c>
      <c r="E70">
        <v>71.52</v>
      </c>
      <c r="F70">
        <v>0</v>
      </c>
      <c r="G70">
        <v>2.2134999999999998</v>
      </c>
    </row>
    <row r="71" spans="1:8" x14ac:dyDescent="0.3">
      <c r="A71" s="74" t="s">
        <v>29</v>
      </c>
      <c r="B71" s="74" t="s">
        <v>17</v>
      </c>
      <c r="C71">
        <v>0</v>
      </c>
      <c r="E71">
        <v>0</v>
      </c>
      <c r="F71">
        <v>0</v>
      </c>
      <c r="G71">
        <v>2.2134999999999998</v>
      </c>
    </row>
    <row r="72" spans="1:8" x14ac:dyDescent="0.3">
      <c r="A72" s="74" t="s">
        <v>18</v>
      </c>
      <c r="B72" s="74" t="s">
        <v>32</v>
      </c>
      <c r="C72">
        <v>0</v>
      </c>
      <c r="E72">
        <v>0</v>
      </c>
      <c r="F72">
        <v>28.992000000000001</v>
      </c>
      <c r="H72">
        <v>0.92649999999999999</v>
      </c>
    </row>
    <row r="73" spans="1:8" x14ac:dyDescent="0.3">
      <c r="A73" s="74" t="s">
        <v>32</v>
      </c>
      <c r="B73" s="74" t="s">
        <v>18</v>
      </c>
      <c r="C73">
        <v>0</v>
      </c>
      <c r="E73">
        <v>0</v>
      </c>
      <c r="F73">
        <v>28.992000000000001</v>
      </c>
      <c r="H73">
        <v>0.92649999999999999</v>
      </c>
    </row>
    <row r="74" spans="1:8" x14ac:dyDescent="0.3">
      <c r="A74" s="74" t="s">
        <v>19</v>
      </c>
      <c r="B74" s="74" t="s">
        <v>29</v>
      </c>
      <c r="C74">
        <v>0</v>
      </c>
      <c r="E74">
        <v>0</v>
      </c>
      <c r="F74">
        <v>6</v>
      </c>
      <c r="H74">
        <v>1.7990999999999999</v>
      </c>
    </row>
    <row r="75" spans="1:8" x14ac:dyDescent="0.3">
      <c r="A75" s="74" t="s">
        <v>29</v>
      </c>
      <c r="B75" s="74" t="s">
        <v>19</v>
      </c>
      <c r="C75">
        <v>0</v>
      </c>
      <c r="E75">
        <v>0</v>
      </c>
      <c r="F75">
        <v>6</v>
      </c>
      <c r="H75">
        <v>1.7990999999999999</v>
      </c>
    </row>
    <row r="76" spans="1:8" x14ac:dyDescent="0.3">
      <c r="A76" s="74" t="s">
        <v>12</v>
      </c>
      <c r="B76" s="74" t="s">
        <v>19</v>
      </c>
      <c r="C76">
        <v>0</v>
      </c>
      <c r="E76">
        <v>0</v>
      </c>
      <c r="F76">
        <v>175.2</v>
      </c>
      <c r="H76">
        <v>0.28539999999999999</v>
      </c>
    </row>
    <row r="77" spans="1:8" x14ac:dyDescent="0.3">
      <c r="A77" s="74" t="s">
        <v>19</v>
      </c>
      <c r="B77" s="74" t="s">
        <v>12</v>
      </c>
      <c r="C77">
        <v>0</v>
      </c>
      <c r="E77">
        <v>0</v>
      </c>
      <c r="F77">
        <v>175.2</v>
      </c>
      <c r="H77">
        <v>0.28539999999999999</v>
      </c>
    </row>
  </sheetData>
  <autoFilter ref="B1:B77" xr:uid="{3A9151E7-F588-4DBA-A685-C2684F2CB008}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2CF6E-9D17-4700-97C6-6A9841082493}">
  <dimension ref="A1:P14"/>
  <sheetViews>
    <sheetView zoomScale="115" zoomScaleNormal="115" workbookViewId="0">
      <selection activeCell="K5" sqref="K5"/>
    </sheetView>
  </sheetViews>
  <sheetFormatPr defaultRowHeight="14.4" x14ac:dyDescent="0.3"/>
  <cols>
    <col min="1" max="1" width="20.6640625" bestFit="1" customWidth="1"/>
    <col min="2" max="2" width="10.6640625" bestFit="1" customWidth="1"/>
    <col min="3" max="5" width="20.6640625" bestFit="1" customWidth="1"/>
    <col min="6" max="8" width="19.5546875" bestFit="1" customWidth="1"/>
    <col min="9" max="11" width="18.44140625" bestFit="1" customWidth="1"/>
    <col min="12" max="14" width="9.5546875" bestFit="1" customWidth="1"/>
    <col min="15" max="15" width="50.21875" bestFit="1" customWidth="1"/>
    <col min="16" max="16" width="51.5546875" bestFit="1" customWidth="1"/>
  </cols>
  <sheetData>
    <row r="1" spans="1:16" x14ac:dyDescent="0.3">
      <c r="A1" s="32" t="s">
        <v>55</v>
      </c>
      <c r="B1" s="61" t="s">
        <v>133</v>
      </c>
      <c r="C1" s="37" t="s">
        <v>100</v>
      </c>
      <c r="D1" s="37" t="s">
        <v>108</v>
      </c>
      <c r="E1" s="37" t="s">
        <v>107</v>
      </c>
      <c r="F1" s="37" t="s">
        <v>101</v>
      </c>
      <c r="G1" s="37" t="s">
        <v>106</v>
      </c>
      <c r="H1" s="37" t="s">
        <v>105</v>
      </c>
      <c r="I1" s="37" t="s">
        <v>102</v>
      </c>
      <c r="J1" s="37" t="s">
        <v>104</v>
      </c>
      <c r="K1" s="37" t="s">
        <v>103</v>
      </c>
      <c r="L1" s="38" t="s">
        <v>70</v>
      </c>
      <c r="M1" s="38" t="s">
        <v>56</v>
      </c>
      <c r="N1" s="38" t="s">
        <v>57</v>
      </c>
      <c r="O1" s="38" t="s">
        <v>109</v>
      </c>
      <c r="P1" s="38" t="s">
        <v>111</v>
      </c>
    </row>
    <row r="2" spans="1:16" x14ac:dyDescent="0.3">
      <c r="A2" s="33" t="s">
        <v>53</v>
      </c>
      <c r="B2" s="12" t="s">
        <v>59</v>
      </c>
      <c r="C2" s="62">
        <v>0.52220104919999999</v>
      </c>
      <c r="D2" s="28">
        <v>0.52220104919999999</v>
      </c>
      <c r="E2" s="28">
        <v>0.52220104919999999</v>
      </c>
      <c r="F2" s="39">
        <v>26110.05</v>
      </c>
      <c r="G2" s="39">
        <v>26110.05</v>
      </c>
      <c r="H2" s="39">
        <v>26110.05</v>
      </c>
      <c r="I2" s="28">
        <v>2.62</v>
      </c>
      <c r="J2" s="28">
        <v>2.62</v>
      </c>
      <c r="K2" s="28">
        <v>2.62</v>
      </c>
      <c r="L2" s="40">
        <v>30</v>
      </c>
      <c r="M2" s="47">
        <v>2015</v>
      </c>
      <c r="N2" s="42" t="s">
        <v>64</v>
      </c>
      <c r="O2" s="50" t="s">
        <v>112</v>
      </c>
      <c r="P2" s="59" t="s">
        <v>121</v>
      </c>
    </row>
    <row r="3" spans="1:16" x14ac:dyDescent="0.3">
      <c r="A3" s="49" t="s">
        <v>54</v>
      </c>
      <c r="B3" s="12" t="s">
        <v>59</v>
      </c>
      <c r="C3" s="62">
        <v>0.60575321709999996</v>
      </c>
      <c r="D3" s="28">
        <v>0.60575321709999996</v>
      </c>
      <c r="E3" s="28">
        <v>0.60575321709999996</v>
      </c>
      <c r="F3" s="28">
        <v>30287.66</v>
      </c>
      <c r="G3" s="28">
        <v>30287.66</v>
      </c>
      <c r="H3" s="28">
        <v>30287.66</v>
      </c>
      <c r="I3" s="28">
        <v>3.46</v>
      </c>
      <c r="J3" s="28">
        <v>3.46</v>
      </c>
      <c r="K3" s="28">
        <v>3.46</v>
      </c>
      <c r="L3" s="40">
        <v>30</v>
      </c>
      <c r="M3" s="47">
        <v>2015</v>
      </c>
      <c r="N3" s="42" t="s">
        <v>64</v>
      </c>
      <c r="O3" s="50" t="s">
        <v>113</v>
      </c>
      <c r="P3" s="59" t="s">
        <v>121</v>
      </c>
    </row>
    <row r="4" spans="1:16" x14ac:dyDescent="0.3">
      <c r="A4" s="35" t="s">
        <v>51</v>
      </c>
      <c r="B4" s="12" t="s">
        <v>59</v>
      </c>
      <c r="C4" s="62">
        <v>1.0256400000000001</v>
      </c>
      <c r="D4" s="28">
        <v>0.73051999999999995</v>
      </c>
      <c r="E4" s="28">
        <v>0.48946000000000001</v>
      </c>
      <c r="F4" s="28">
        <v>20512.82</v>
      </c>
      <c r="G4" s="28">
        <v>14610.39</v>
      </c>
      <c r="H4" s="28">
        <v>9789.16</v>
      </c>
      <c r="I4" s="28"/>
      <c r="J4" s="28"/>
      <c r="K4" s="28"/>
      <c r="L4" s="40">
        <v>25</v>
      </c>
      <c r="M4" s="47">
        <v>2020</v>
      </c>
      <c r="N4" s="41" t="s">
        <v>61</v>
      </c>
      <c r="O4" s="50" t="s">
        <v>114</v>
      </c>
      <c r="P4" s="59" t="s">
        <v>122</v>
      </c>
    </row>
    <row r="5" spans="1:16" x14ac:dyDescent="0.3">
      <c r="A5" s="33" t="s">
        <v>50</v>
      </c>
      <c r="B5" s="12" t="s">
        <v>59</v>
      </c>
      <c r="C5" s="62">
        <v>0.80384999999999995</v>
      </c>
      <c r="D5" s="28">
        <v>0.61255000000000004</v>
      </c>
      <c r="E5" s="28">
        <v>0.39341999999999999</v>
      </c>
      <c r="F5" s="28">
        <v>32154.54</v>
      </c>
      <c r="G5" s="28">
        <v>24502.29</v>
      </c>
      <c r="H5" s="28">
        <v>15736.77</v>
      </c>
      <c r="I5" s="28"/>
      <c r="J5" s="28"/>
      <c r="K5" s="28"/>
      <c r="L5" s="40">
        <v>25</v>
      </c>
      <c r="M5" s="47">
        <v>2020</v>
      </c>
      <c r="N5" s="41" t="s">
        <v>61</v>
      </c>
      <c r="O5" s="50" t="s">
        <v>114</v>
      </c>
      <c r="P5" s="59" t="s">
        <v>122</v>
      </c>
    </row>
    <row r="6" spans="1:16" x14ac:dyDescent="0.3">
      <c r="A6" s="34" t="s">
        <v>52</v>
      </c>
      <c r="B6" s="12" t="s">
        <v>59</v>
      </c>
      <c r="C6" s="62">
        <v>1.11351</v>
      </c>
      <c r="D6" s="28">
        <v>0.92198999999999998</v>
      </c>
      <c r="E6" s="28">
        <v>0.68966000000000005</v>
      </c>
      <c r="F6" s="28">
        <v>133620.69</v>
      </c>
      <c r="G6" s="28">
        <v>110638.29</v>
      </c>
      <c r="H6" s="28">
        <v>82758.62</v>
      </c>
      <c r="I6" s="28"/>
      <c r="J6" s="28"/>
      <c r="K6" s="28"/>
      <c r="L6" s="40">
        <v>25</v>
      </c>
      <c r="M6" s="47">
        <v>2020</v>
      </c>
      <c r="N6" s="41" t="s">
        <v>61</v>
      </c>
      <c r="O6" s="50" t="s">
        <v>114</v>
      </c>
      <c r="P6" s="59" t="s">
        <v>122</v>
      </c>
    </row>
    <row r="7" spans="1:16" x14ac:dyDescent="0.3">
      <c r="A7" s="36" t="s">
        <v>62</v>
      </c>
      <c r="B7" s="12" t="s">
        <v>59</v>
      </c>
      <c r="C7" s="62">
        <v>0.62</v>
      </c>
      <c r="D7" s="28">
        <v>0.57999999999999996</v>
      </c>
      <c r="E7" s="28">
        <v>0.52</v>
      </c>
      <c r="F7" s="28">
        <v>12760</v>
      </c>
      <c r="G7" s="28">
        <v>11697</v>
      </c>
      <c r="H7" s="28">
        <v>10315</v>
      </c>
      <c r="I7" s="28">
        <v>4.25</v>
      </c>
      <c r="J7" s="28">
        <v>3.83</v>
      </c>
      <c r="K7" s="28">
        <v>3.45</v>
      </c>
      <c r="L7" s="40">
        <v>25</v>
      </c>
      <c r="M7" s="47">
        <v>2020</v>
      </c>
      <c r="N7" s="40" t="s">
        <v>61</v>
      </c>
      <c r="O7" s="50" t="s">
        <v>115</v>
      </c>
      <c r="P7" s="59" t="s">
        <v>122</v>
      </c>
    </row>
    <row r="8" spans="1:16" x14ac:dyDescent="0.3">
      <c r="A8" s="20" t="s">
        <v>63</v>
      </c>
      <c r="B8" s="66" t="s">
        <v>58</v>
      </c>
      <c r="C8" s="62">
        <v>0.67961850000000001</v>
      </c>
      <c r="D8" s="28">
        <v>0.5997787</v>
      </c>
      <c r="E8" s="28">
        <v>0.5197389</v>
      </c>
      <c r="F8" s="28">
        <v>20928.555</v>
      </c>
      <c r="G8" s="28">
        <v>17993.36</v>
      </c>
      <c r="H8" s="28">
        <v>15592.17</v>
      </c>
      <c r="I8" s="28"/>
      <c r="J8" s="28"/>
      <c r="K8" s="28"/>
      <c r="L8" s="40">
        <v>20</v>
      </c>
      <c r="M8" s="47">
        <v>2017</v>
      </c>
      <c r="N8" s="42" t="s">
        <v>64</v>
      </c>
      <c r="O8" s="50" t="s">
        <v>116</v>
      </c>
      <c r="P8" s="59" t="s">
        <v>121</v>
      </c>
    </row>
    <row r="9" spans="1:16" x14ac:dyDescent="0.3">
      <c r="A9" s="60" t="s">
        <v>126</v>
      </c>
      <c r="B9" s="67" t="s">
        <v>58</v>
      </c>
      <c r="C9" s="62">
        <v>1.1360259191752513</v>
      </c>
      <c r="D9" s="28">
        <v>1.0812491692354365</v>
      </c>
      <c r="E9" s="28">
        <v>1.0114216243743499</v>
      </c>
      <c r="F9" s="28">
        <v>67832.214540712273</v>
      </c>
      <c r="G9" s="28">
        <v>64816.756367802605</v>
      </c>
      <c r="H9" s="28">
        <v>60679.800525872968</v>
      </c>
      <c r="I9" s="28">
        <v>2.15999998272</v>
      </c>
      <c r="J9" s="28">
        <v>1.7999999856000002</v>
      </c>
      <c r="K9" s="28">
        <v>1.5839999873280002</v>
      </c>
      <c r="L9" s="40">
        <v>20</v>
      </c>
      <c r="M9" s="47">
        <v>2020</v>
      </c>
      <c r="N9" s="41" t="s">
        <v>61</v>
      </c>
      <c r="O9" s="50" t="s">
        <v>117</v>
      </c>
      <c r="P9" s="59" t="s">
        <v>122</v>
      </c>
    </row>
    <row r="10" spans="1:16" x14ac:dyDescent="0.3">
      <c r="A10" s="60" t="s">
        <v>127</v>
      </c>
      <c r="B10" s="66" t="s">
        <v>58</v>
      </c>
      <c r="C10" s="63"/>
      <c r="D10" s="28"/>
      <c r="E10" s="28"/>
      <c r="F10" s="51"/>
      <c r="G10" s="28"/>
      <c r="H10" s="28"/>
      <c r="I10" s="51"/>
      <c r="J10" s="28"/>
      <c r="K10" s="28"/>
      <c r="L10" s="40"/>
      <c r="M10" s="47"/>
      <c r="N10" s="41"/>
      <c r="O10" s="50" t="s">
        <v>118</v>
      </c>
      <c r="P10" s="59"/>
    </row>
    <row r="11" spans="1:16" x14ac:dyDescent="0.3">
      <c r="A11" s="20" t="s">
        <v>128</v>
      </c>
      <c r="B11" s="67" t="s">
        <v>58</v>
      </c>
      <c r="C11" s="64">
        <v>1.9399563191752514</v>
      </c>
      <c r="D11" s="55">
        <v>1.7243934892354364</v>
      </c>
      <c r="E11" s="55">
        <v>1.4937798643743498</v>
      </c>
      <c r="F11" s="55">
        <v>99989.430540712274</v>
      </c>
      <c r="G11" s="55">
        <v>90542.529167802597</v>
      </c>
      <c r="H11" s="55">
        <v>79974.130125872965</v>
      </c>
      <c r="I11" s="55">
        <v>4.43</v>
      </c>
      <c r="J11" s="55">
        <v>3.66</v>
      </c>
      <c r="K11" s="55">
        <v>2.9</v>
      </c>
      <c r="L11" s="40">
        <v>20</v>
      </c>
      <c r="M11" s="47">
        <v>2020</v>
      </c>
      <c r="N11" s="48" t="s">
        <v>61</v>
      </c>
      <c r="O11" s="50" t="s">
        <v>119</v>
      </c>
      <c r="P11" s="59" t="s">
        <v>122</v>
      </c>
    </row>
    <row r="12" spans="1:16" x14ac:dyDescent="0.3">
      <c r="A12" s="33" t="s">
        <v>131</v>
      </c>
      <c r="B12" s="66" t="s">
        <v>58</v>
      </c>
      <c r="C12" s="65">
        <v>1.7014399999999998</v>
      </c>
      <c r="D12" s="57">
        <v>1.6482699999999999</v>
      </c>
      <c r="E12" s="57">
        <v>1.5951</v>
      </c>
      <c r="F12" s="57">
        <v>27861.079999999998</v>
      </c>
      <c r="G12" s="57">
        <v>26744.51</v>
      </c>
      <c r="H12" s="57">
        <v>25627.94</v>
      </c>
      <c r="I12" s="57">
        <v>1.8077799999999997</v>
      </c>
      <c r="J12" s="57">
        <v>1.7546099999999998</v>
      </c>
      <c r="K12" s="57">
        <v>1.7014399999999998</v>
      </c>
      <c r="L12" s="40">
        <v>20</v>
      </c>
      <c r="M12" s="47">
        <v>2020</v>
      </c>
      <c r="N12" s="48" t="s">
        <v>61</v>
      </c>
      <c r="O12" s="50" t="s">
        <v>129</v>
      </c>
      <c r="P12" s="59" t="s">
        <v>122</v>
      </c>
    </row>
    <row r="13" spans="1:16" x14ac:dyDescent="0.3">
      <c r="A13" s="33" t="s">
        <v>132</v>
      </c>
      <c r="B13" s="67" t="s">
        <v>58</v>
      </c>
      <c r="C13" s="62"/>
      <c r="D13" s="28"/>
      <c r="E13" s="28"/>
      <c r="F13" s="28"/>
      <c r="G13" s="28"/>
      <c r="H13" s="28"/>
      <c r="I13" s="28"/>
      <c r="J13" s="28"/>
      <c r="K13" s="28"/>
      <c r="L13" s="40"/>
      <c r="M13" s="47"/>
      <c r="N13" s="41"/>
      <c r="O13" s="50" t="s">
        <v>130</v>
      </c>
      <c r="P13" s="50"/>
    </row>
    <row r="14" spans="1:16" x14ac:dyDescent="0.3">
      <c r="A14" s="20" t="s">
        <v>67</v>
      </c>
      <c r="B14" s="66" t="s">
        <v>65</v>
      </c>
      <c r="C14" s="62">
        <v>3</v>
      </c>
      <c r="D14" s="28">
        <v>2.1</v>
      </c>
      <c r="E14" s="28">
        <v>1.8</v>
      </c>
      <c r="F14" s="28">
        <v>120000</v>
      </c>
      <c r="G14" s="28">
        <v>80000</v>
      </c>
      <c r="H14" s="28">
        <v>70000</v>
      </c>
      <c r="I14" s="28"/>
      <c r="J14" s="28"/>
      <c r="K14" s="28"/>
      <c r="L14" s="40">
        <v>25</v>
      </c>
      <c r="M14" s="47">
        <v>2020</v>
      </c>
      <c r="N14" s="40" t="s">
        <v>61</v>
      </c>
      <c r="O14" s="50" t="s">
        <v>120</v>
      </c>
      <c r="P14" s="59" t="s">
        <v>122</v>
      </c>
    </row>
  </sheetData>
  <phoneticPr fontId="2" type="noConversion"/>
  <hyperlinks>
    <hyperlink ref="P2" r:id="rId1" display="https://github.com/PyPSA/technology-data/tree/master/outputs" xr:uid="{6D05B9BB-9FFD-478E-BF74-9D237DC4320E}"/>
    <hyperlink ref="P3" r:id="rId2" display="https://github.com/PyPSA/technology-data/tree/master/outputs" xr:uid="{496B4164-37E1-4D8A-819A-E3B31762A452}"/>
    <hyperlink ref="P8" r:id="rId3" display="https://github.com/PyPSA/technology-data/tree/master/outputs" xr:uid="{ECDCF5F9-E7E2-4B64-9419-9451933749D2}"/>
    <hyperlink ref="P4" r:id="rId4" display="https://ens.dk/en/analyses-and-statistics/technology-data-renewable-fuels" xr:uid="{C7FA6103-5CCE-4ED4-8B49-4014BF5A2F48}"/>
    <hyperlink ref="P5" r:id="rId5" display="https://ens.dk/en/analyses-and-statistics/technology-data-renewable-fuels" xr:uid="{13FF0FA4-4BB5-45DE-AF5D-A1C59720BA6A}"/>
    <hyperlink ref="P6" r:id="rId6" display="https://ens.dk/en/analyses-and-statistics/technology-data-renewable-fuels" xr:uid="{1E735E3D-652E-4F1F-AF7C-E6F7B4CF0268}"/>
    <hyperlink ref="P7" r:id="rId7" display="https://ens.dk/en/analyses-and-statistics/technology-data-renewable-fuels" xr:uid="{8416AB9B-5879-44FF-8809-A8A73C60FF51}"/>
    <hyperlink ref="P9" r:id="rId8" display="https://ens.dk/en/analyses-and-statistics/technology-data-renewable-fuels" xr:uid="{7FFB3A95-65DE-4C2C-9341-E2624002E6FB}"/>
    <hyperlink ref="P11" r:id="rId9" display="https://ens.dk/en/analyses-and-statistics/technology-data-renewable-fuels" xr:uid="{F7C2D5FD-8217-46B9-BA2D-8F9A6616EDF6}"/>
    <hyperlink ref="P12" r:id="rId10" display="https://ens.dk/en/analyses-and-statistics/technology-data-renewable-fuels" xr:uid="{C94BE32B-303F-4EC6-A7B1-4DD682F98EEE}"/>
    <hyperlink ref="P14" r:id="rId11" display="https://ens.dk/en/analyses-and-statistics/technology-data-renewable-fuels" xr:uid="{9C5809E1-370A-4566-B546-ECE909CB43C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7E65D-0FA4-49EB-A16A-917F3C6758C0}">
  <dimension ref="A1:G26"/>
  <sheetViews>
    <sheetView topLeftCell="A13" workbookViewId="0">
      <selection activeCell="G29" sqref="G29"/>
    </sheetView>
  </sheetViews>
  <sheetFormatPr defaultRowHeight="14.4" x14ac:dyDescent="0.3"/>
  <cols>
    <col min="1" max="1" width="22.21875" customWidth="1"/>
    <col min="2" max="2" width="10.109375" customWidth="1"/>
    <col min="3" max="3" width="22.44140625" customWidth="1"/>
    <col min="7" max="7" width="85.109375" bestFit="1" customWidth="1"/>
  </cols>
  <sheetData>
    <row r="1" spans="1:7" x14ac:dyDescent="0.3">
      <c r="A1" s="67" t="s">
        <v>43</v>
      </c>
      <c r="B1" s="67" t="s">
        <v>98</v>
      </c>
      <c r="C1" s="67" t="s">
        <v>97</v>
      </c>
      <c r="D1" s="67">
        <v>2030</v>
      </c>
      <c r="E1" s="67">
        <v>2040</v>
      </c>
      <c r="F1" s="67">
        <v>2050</v>
      </c>
      <c r="G1" s="92" t="s">
        <v>110</v>
      </c>
    </row>
    <row r="2" spans="1:7" x14ac:dyDescent="0.3">
      <c r="A2" s="8" t="s">
        <v>53</v>
      </c>
      <c r="B2" s="9" t="s">
        <v>58</v>
      </c>
      <c r="C2" s="24" t="s">
        <v>59</v>
      </c>
      <c r="D2" s="90">
        <v>0.76</v>
      </c>
      <c r="E2" s="90">
        <v>0.76</v>
      </c>
      <c r="F2" s="90">
        <v>0.76</v>
      </c>
      <c r="G2" s="91" t="s">
        <v>121</v>
      </c>
    </row>
    <row r="3" spans="1:7" x14ac:dyDescent="0.3">
      <c r="A3" s="6" t="s">
        <v>54</v>
      </c>
      <c r="B3" s="7" t="s">
        <v>58</v>
      </c>
      <c r="C3" s="52" t="s">
        <v>59</v>
      </c>
      <c r="D3" s="54">
        <v>0.69</v>
      </c>
      <c r="E3" s="54">
        <v>0.69</v>
      </c>
      <c r="F3" s="54">
        <v>0.69</v>
      </c>
      <c r="G3" s="59" t="s">
        <v>121</v>
      </c>
    </row>
    <row r="4" spans="1:7" x14ac:dyDescent="0.3">
      <c r="A4" s="30" t="s">
        <v>54</v>
      </c>
      <c r="B4" s="31" t="s">
        <v>58</v>
      </c>
      <c r="C4" s="53" t="s">
        <v>65</v>
      </c>
      <c r="D4" s="54">
        <v>0.13200000000000001</v>
      </c>
      <c r="E4" s="54">
        <v>0.13200000000000001</v>
      </c>
      <c r="F4" s="54">
        <v>0.13200000000000001</v>
      </c>
      <c r="G4" s="59" t="s">
        <v>122</v>
      </c>
    </row>
    <row r="5" spans="1:7" x14ac:dyDescent="0.3">
      <c r="A5" s="8" t="s">
        <v>51</v>
      </c>
      <c r="B5" s="9" t="s">
        <v>60</v>
      </c>
      <c r="C5" s="24" t="s">
        <v>59</v>
      </c>
      <c r="D5" s="54">
        <v>0.58499999999999996</v>
      </c>
      <c r="E5" s="54">
        <v>0.61599999999999999</v>
      </c>
      <c r="F5" s="54">
        <v>0.66400000000000003</v>
      </c>
      <c r="G5" s="59" t="s">
        <v>122</v>
      </c>
    </row>
    <row r="6" spans="1:7" x14ac:dyDescent="0.3">
      <c r="A6" s="4" t="s">
        <v>50</v>
      </c>
      <c r="B6" s="5" t="s">
        <v>60</v>
      </c>
      <c r="C6" s="22" t="s">
        <v>59</v>
      </c>
      <c r="D6" s="54">
        <v>0.622</v>
      </c>
      <c r="E6" s="54">
        <v>0.65300000000000002</v>
      </c>
      <c r="F6" s="54">
        <v>0.69899999999999995</v>
      </c>
      <c r="G6" s="59" t="s">
        <v>122</v>
      </c>
    </row>
    <row r="7" spans="1:7" x14ac:dyDescent="0.3">
      <c r="A7" s="6" t="s">
        <v>52</v>
      </c>
      <c r="B7" s="7" t="s">
        <v>60</v>
      </c>
      <c r="C7" s="23" t="s">
        <v>59</v>
      </c>
      <c r="D7" s="54">
        <v>0.69599999999999995</v>
      </c>
      <c r="E7" s="54">
        <v>0.70499999999999996</v>
      </c>
      <c r="F7" s="54">
        <v>0.72499999999999998</v>
      </c>
      <c r="G7" s="59" t="s">
        <v>122</v>
      </c>
    </row>
    <row r="8" spans="1:7" x14ac:dyDescent="0.3">
      <c r="A8" s="19" t="s">
        <v>62</v>
      </c>
      <c r="B8" s="10" t="s">
        <v>58</v>
      </c>
      <c r="C8" s="25" t="s">
        <v>59</v>
      </c>
      <c r="D8" s="54">
        <v>0.53</v>
      </c>
      <c r="E8" s="54">
        <v>0.53</v>
      </c>
      <c r="F8" s="54">
        <v>0.53</v>
      </c>
      <c r="G8" s="59" t="s">
        <v>122</v>
      </c>
    </row>
    <row r="9" spans="1:7" x14ac:dyDescent="0.3">
      <c r="A9" s="19" t="s">
        <v>62</v>
      </c>
      <c r="B9" s="11" t="s">
        <v>60</v>
      </c>
      <c r="C9" s="25" t="s">
        <v>59</v>
      </c>
      <c r="D9" s="54">
        <v>1.86</v>
      </c>
      <c r="E9" s="54">
        <v>2.1</v>
      </c>
      <c r="F9" s="54">
        <v>2.39</v>
      </c>
      <c r="G9" s="59" t="s">
        <v>122</v>
      </c>
    </row>
    <row r="10" spans="1:7" x14ac:dyDescent="0.3">
      <c r="A10" s="20" t="s">
        <v>63</v>
      </c>
      <c r="B10" s="7" t="s">
        <v>59</v>
      </c>
      <c r="C10" s="26" t="s">
        <v>58</v>
      </c>
      <c r="D10" s="54">
        <v>0.78</v>
      </c>
      <c r="E10" s="54">
        <v>0.78</v>
      </c>
      <c r="F10" s="54">
        <v>0.78</v>
      </c>
      <c r="G10" s="59" t="s">
        <v>121</v>
      </c>
    </row>
    <row r="11" spans="1:7" x14ac:dyDescent="0.3">
      <c r="A11" s="20" t="s">
        <v>63</v>
      </c>
      <c r="B11" s="12" t="s">
        <v>65</v>
      </c>
      <c r="C11" s="26" t="s">
        <v>58</v>
      </c>
      <c r="D11" s="54">
        <v>5.05</v>
      </c>
      <c r="E11" s="54">
        <v>5.05</v>
      </c>
      <c r="F11" s="54">
        <v>5.05</v>
      </c>
      <c r="G11" s="59" t="s">
        <v>121</v>
      </c>
    </row>
    <row r="12" spans="1:7" x14ac:dyDescent="0.3">
      <c r="A12" s="60" t="s">
        <v>126</v>
      </c>
      <c r="B12" s="9" t="s">
        <v>66</v>
      </c>
      <c r="C12" s="22" t="s">
        <v>58</v>
      </c>
      <c r="D12" s="54">
        <v>0.6</v>
      </c>
      <c r="E12" s="54">
        <v>0.6</v>
      </c>
      <c r="F12" s="54">
        <v>0.6</v>
      </c>
      <c r="G12" s="59" t="s">
        <v>125</v>
      </c>
    </row>
    <row r="13" spans="1:7" x14ac:dyDescent="0.3">
      <c r="A13" s="60" t="s">
        <v>127</v>
      </c>
      <c r="B13" s="5" t="s">
        <v>66</v>
      </c>
      <c r="C13" s="22" t="s">
        <v>58</v>
      </c>
      <c r="D13" s="55"/>
      <c r="E13" s="55"/>
      <c r="F13" s="55"/>
      <c r="G13" s="50"/>
    </row>
    <row r="14" spans="1:7" x14ac:dyDescent="0.3">
      <c r="A14" s="60" t="s">
        <v>127</v>
      </c>
      <c r="B14" s="5" t="s">
        <v>66</v>
      </c>
      <c r="C14" s="29" t="s">
        <v>65</v>
      </c>
      <c r="D14" s="55"/>
      <c r="E14" s="55"/>
      <c r="F14" s="55"/>
      <c r="G14" s="50"/>
    </row>
    <row r="15" spans="1:7" x14ac:dyDescent="0.3">
      <c r="A15" s="20" t="s">
        <v>128</v>
      </c>
      <c r="B15" s="5" t="s">
        <v>66</v>
      </c>
      <c r="C15" s="27" t="s">
        <v>58</v>
      </c>
      <c r="D15" s="54">
        <v>1.0075471698113208</v>
      </c>
      <c r="E15" s="54">
        <v>1.0075471698113208</v>
      </c>
      <c r="F15" s="54">
        <v>1.0075471698113208</v>
      </c>
      <c r="G15" s="59" t="s">
        <v>122</v>
      </c>
    </row>
    <row r="16" spans="1:7" x14ac:dyDescent="0.3">
      <c r="A16" s="20" t="s">
        <v>128</v>
      </c>
      <c r="B16" s="5" t="s">
        <v>59</v>
      </c>
      <c r="C16" s="27" t="s">
        <v>58</v>
      </c>
      <c r="D16" s="54">
        <v>1.9347826086956521</v>
      </c>
      <c r="E16" s="54">
        <v>1.9347826086956521</v>
      </c>
      <c r="F16" s="54">
        <v>1.9347826086956521</v>
      </c>
      <c r="G16" s="59" t="s">
        <v>122</v>
      </c>
    </row>
    <row r="17" spans="1:7" x14ac:dyDescent="0.3">
      <c r="A17" s="33" t="s">
        <v>131</v>
      </c>
      <c r="B17" s="5" t="s">
        <v>66</v>
      </c>
      <c r="C17" s="22" t="s">
        <v>58</v>
      </c>
      <c r="D17" s="56">
        <v>0.63</v>
      </c>
      <c r="E17" s="56">
        <v>0.66500000000000004</v>
      </c>
      <c r="F17" s="56">
        <v>0.7</v>
      </c>
      <c r="G17" s="59" t="s">
        <v>122</v>
      </c>
    </row>
    <row r="18" spans="1:7" x14ac:dyDescent="0.3">
      <c r="A18" s="33" t="s">
        <v>132</v>
      </c>
      <c r="B18" s="5" t="s">
        <v>66</v>
      </c>
      <c r="C18" s="22" t="s">
        <v>58</v>
      </c>
      <c r="D18" s="54"/>
      <c r="E18" s="54"/>
      <c r="F18" s="54"/>
      <c r="G18" s="50"/>
    </row>
    <row r="19" spans="1:7" x14ac:dyDescent="0.3">
      <c r="A19" s="33" t="s">
        <v>132</v>
      </c>
      <c r="B19" s="5" t="s">
        <v>66</v>
      </c>
      <c r="C19" s="29" t="s">
        <v>65</v>
      </c>
      <c r="D19" s="54"/>
      <c r="E19" s="54"/>
      <c r="F19" s="54"/>
      <c r="G19" s="50"/>
    </row>
    <row r="20" spans="1:7" x14ac:dyDescent="0.3">
      <c r="A20" s="21" t="s">
        <v>67</v>
      </c>
      <c r="B20" s="13" t="s">
        <v>60</v>
      </c>
      <c r="C20" s="27" t="s">
        <v>65</v>
      </c>
      <c r="D20" s="54">
        <v>4.3499999999999996</v>
      </c>
      <c r="E20" s="54">
        <v>4.93</v>
      </c>
      <c r="F20" s="54">
        <v>5.49</v>
      </c>
      <c r="G20" s="59" t="s">
        <v>122</v>
      </c>
    </row>
    <row r="21" spans="1:7" x14ac:dyDescent="0.3">
      <c r="A21" s="21" t="s">
        <v>67</v>
      </c>
      <c r="B21" s="14" t="s">
        <v>58</v>
      </c>
      <c r="C21" s="27" t="s">
        <v>65</v>
      </c>
      <c r="D21" s="54">
        <v>0.67</v>
      </c>
      <c r="E21" s="54">
        <v>0.77500000000000002</v>
      </c>
      <c r="F21" s="54">
        <v>0.91</v>
      </c>
      <c r="G21" s="59" t="s">
        <v>145</v>
      </c>
    </row>
    <row r="22" spans="1:7" x14ac:dyDescent="0.3">
      <c r="D22" s="15"/>
      <c r="E22" s="15"/>
      <c r="F22" s="15"/>
    </row>
    <row r="23" spans="1:7" x14ac:dyDescent="0.3">
      <c r="D23" s="15"/>
      <c r="E23" s="15"/>
      <c r="F23" s="15"/>
    </row>
    <row r="24" spans="1:7" x14ac:dyDescent="0.3">
      <c r="D24" s="15"/>
      <c r="E24" s="15"/>
      <c r="F24" s="15"/>
    </row>
    <row r="25" spans="1:7" x14ac:dyDescent="0.3">
      <c r="D25" s="15"/>
      <c r="E25" s="15"/>
      <c r="F25" s="15"/>
    </row>
    <row r="26" spans="1:7" x14ac:dyDescent="0.3">
      <c r="D26" s="15"/>
      <c r="E26" s="15"/>
      <c r="F26" s="15"/>
    </row>
  </sheetData>
  <hyperlinks>
    <hyperlink ref="G2" r:id="rId1" display="https://github.com/PyPSA/technology-data/tree/master/outputs" xr:uid="{51EF7037-29F4-42F5-8705-9C7205C2D427}"/>
    <hyperlink ref="G3" r:id="rId2" display="https://github.com/PyPSA/technology-data/tree/master/outputs" xr:uid="{57967678-5D81-4271-83ED-5420D3366173}"/>
    <hyperlink ref="G10" r:id="rId3" display="https://github.com/PyPSA/technology-data/tree/master/outputs" xr:uid="{7F2F9D2F-F2E4-4DA6-B4FA-EBBDE095B9B7}"/>
    <hyperlink ref="G11" r:id="rId4" display="https://github.com/PyPSA/technology-data/tree/master/outputs" xr:uid="{D7CA6DD0-4C03-4BF8-8C74-6CC578AD102C}"/>
    <hyperlink ref="G4" r:id="rId5" display="https://ens.dk/en/analyses-and-statistics/technology-data-renewable-fuels" xr:uid="{500A539B-F581-4339-9B19-5C1D8542CBD9}"/>
    <hyperlink ref="G5" r:id="rId6" display="https://ens.dk/en/analyses-and-statistics/technology-data-renewable-fuels" xr:uid="{19321341-F8F8-435D-B1D9-0E8D1DBA4977}"/>
    <hyperlink ref="G6" r:id="rId7" display="https://ens.dk/en/analyses-and-statistics/technology-data-renewable-fuels" xr:uid="{FE5CB7CA-6F3A-4BEF-A5E4-4E053B4AAFDD}"/>
    <hyperlink ref="G8" r:id="rId8" display="https://ens.dk/en/analyses-and-statistics/technology-data-renewable-fuels" xr:uid="{16761495-48AE-4ABA-A992-C45744602748}"/>
    <hyperlink ref="G7" r:id="rId9" display="https://ens.dk/en/analyses-and-statistics/technology-data-renewable-fuels" xr:uid="{84892D4E-B861-49C0-8224-BCE3AF9BE36E}"/>
    <hyperlink ref="G9" r:id="rId10" display="https://ens.dk/en/analyses-and-statistics/technology-data-renewable-fuels" xr:uid="{B67DAFE9-A348-4C33-B43E-79F1F5FA2E6A}"/>
    <hyperlink ref="G12" r:id="rId11" display="https://ens.dk/en/analyses-and-statistics/technology-data-renewable-fuels" xr:uid="{D16B40A9-C8BA-4DD2-A41F-A66AFF9D743A}"/>
    <hyperlink ref="G15" r:id="rId12" display="https://ens.dk/en/analyses-and-statistics/technology-data-renewable-fuels" xr:uid="{CBAE2BAB-D388-47F8-85A1-DB62D1CD7FFF}"/>
    <hyperlink ref="G16" r:id="rId13" display="https://ens.dk/en/analyses-and-statistics/technology-data-renewable-fuels" xr:uid="{104FE274-B953-4764-870A-9D095150285F}"/>
    <hyperlink ref="G17" r:id="rId14" display="https://ens.dk/en/analyses-and-statistics/technology-data-renewable-fuels" xr:uid="{620B23C9-B43D-4F2F-BAC1-C2A66989B97A}"/>
    <hyperlink ref="G20" r:id="rId15" display="https://ens.dk/en/analyses-and-statistics/technology-data-renewable-fuels" xr:uid="{1C9BEA98-2367-4C62-8FE8-56967553ED7C}"/>
    <hyperlink ref="G21" r:id="rId16" xr:uid="{0CD7082E-A035-4922-A9CD-B4BAE88EDB03}"/>
  </hyperlinks>
  <pageMargins left="0.7" right="0.7" top="0.75" bottom="0.75" header="0.3" footer="0.3"/>
  <pageSetup orientation="portrait" horizontalDpi="90" verticalDpi="90" r:id="rId17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DEDF9-FE80-434D-89E2-FC855E890C39}">
  <dimension ref="A1:L4"/>
  <sheetViews>
    <sheetView workbookViewId="0">
      <selection activeCell="F9" sqref="F9"/>
    </sheetView>
  </sheetViews>
  <sheetFormatPr defaultRowHeight="14.4" x14ac:dyDescent="0.3"/>
  <cols>
    <col min="1" max="1" width="12.88671875" bestFit="1" customWidth="1"/>
    <col min="2" max="3" width="5.21875" bestFit="1" customWidth="1"/>
    <col min="4" max="4" width="16.21875" bestFit="1" customWidth="1"/>
    <col min="5" max="5" width="14" bestFit="1" customWidth="1"/>
    <col min="6" max="6" width="12.88671875" bestFit="1" customWidth="1"/>
    <col min="7" max="7" width="19.5546875" bestFit="1" customWidth="1"/>
    <col min="8" max="8" width="22.88671875" bestFit="1" customWidth="1"/>
    <col min="9" max="9" width="9.5546875" bestFit="1" customWidth="1"/>
    <col min="10" max="10" width="12.88671875" bestFit="1" customWidth="1"/>
    <col min="11" max="11" width="9.5546875" bestFit="1" customWidth="1"/>
    <col min="12" max="12" width="30.77734375" bestFit="1" customWidth="1"/>
    <col min="13" max="15" width="6.21875" bestFit="1" customWidth="1"/>
    <col min="16" max="16" width="10.109375" customWidth="1"/>
    <col min="17" max="18" width="6.21875" bestFit="1" customWidth="1"/>
    <col min="19" max="19" width="12.109375" customWidth="1"/>
    <col min="20" max="20" width="9.5546875" bestFit="1" customWidth="1"/>
    <col min="21" max="21" width="6.21875" bestFit="1" customWidth="1"/>
    <col min="22" max="23" width="9.5546875" bestFit="1" customWidth="1"/>
  </cols>
  <sheetData>
    <row r="1" spans="1:12" x14ac:dyDescent="0.3">
      <c r="A1" s="89" t="s">
        <v>83</v>
      </c>
      <c r="B1" s="89" t="s">
        <v>99</v>
      </c>
      <c r="C1" s="89" t="s">
        <v>82</v>
      </c>
      <c r="D1" s="89" t="s">
        <v>81</v>
      </c>
      <c r="E1" s="89" t="s">
        <v>78</v>
      </c>
      <c r="F1" s="89" t="s">
        <v>79</v>
      </c>
      <c r="G1" s="89" t="s">
        <v>68</v>
      </c>
      <c r="H1" s="89" t="s">
        <v>69</v>
      </c>
      <c r="I1" s="89" t="s">
        <v>70</v>
      </c>
      <c r="J1" s="89" t="s">
        <v>80</v>
      </c>
      <c r="K1" s="89" t="s">
        <v>123</v>
      </c>
      <c r="L1" s="89" t="s">
        <v>110</v>
      </c>
    </row>
    <row r="2" spans="1:12" x14ac:dyDescent="0.3">
      <c r="A2" s="84" t="s">
        <v>92</v>
      </c>
      <c r="B2" s="43" t="s">
        <v>59</v>
      </c>
      <c r="C2" s="43">
        <v>2030</v>
      </c>
      <c r="D2" s="44">
        <v>2.1267999999999999E-3</v>
      </c>
      <c r="E2" s="45">
        <v>4.5232782400000002E-5</v>
      </c>
      <c r="F2" s="43"/>
      <c r="G2" s="43">
        <v>1</v>
      </c>
      <c r="H2" s="43">
        <v>1</v>
      </c>
      <c r="I2" s="43">
        <v>100</v>
      </c>
      <c r="J2" s="43"/>
      <c r="K2" s="43">
        <v>2020</v>
      </c>
      <c r="L2" s="58" t="s">
        <v>124</v>
      </c>
    </row>
    <row r="3" spans="1:12" x14ac:dyDescent="0.3">
      <c r="A3" s="76" t="s">
        <v>92</v>
      </c>
      <c r="B3" s="43" t="s">
        <v>59</v>
      </c>
      <c r="C3" s="43">
        <v>2040</v>
      </c>
      <c r="D3" s="46">
        <v>1.5950999999999999E-3</v>
      </c>
      <c r="E3" s="43">
        <v>3.3924586799999998E-5</v>
      </c>
      <c r="F3" s="43"/>
      <c r="G3" s="43">
        <v>1</v>
      </c>
      <c r="H3" s="43">
        <v>1</v>
      </c>
      <c r="I3" s="43">
        <v>100</v>
      </c>
      <c r="J3" s="43"/>
      <c r="K3" s="43">
        <v>2020</v>
      </c>
      <c r="L3" s="58" t="s">
        <v>124</v>
      </c>
    </row>
    <row r="4" spans="1:12" x14ac:dyDescent="0.3">
      <c r="A4" s="76" t="s">
        <v>92</v>
      </c>
      <c r="B4" s="43" t="s">
        <v>59</v>
      </c>
      <c r="C4" s="43">
        <v>2050</v>
      </c>
      <c r="D4" s="46">
        <v>1.27608E-3</v>
      </c>
      <c r="E4" s="45">
        <v>2.7139669440000001E-5</v>
      </c>
      <c r="F4" s="43"/>
      <c r="G4" s="43">
        <v>1</v>
      </c>
      <c r="H4" s="43">
        <v>1</v>
      </c>
      <c r="I4" s="43">
        <v>100</v>
      </c>
      <c r="J4" s="43"/>
      <c r="K4" s="43">
        <v>2020</v>
      </c>
      <c r="L4" s="58" t="s">
        <v>124</v>
      </c>
    </row>
  </sheetData>
  <hyperlinks>
    <hyperlink ref="L2" r:id="rId1" display="https://ens.dk/en/analyses-and-statistics/technology-data-energy-storage" xr:uid="{CAFE6F2F-0B28-40D3-B49B-027B73FBE790}"/>
    <hyperlink ref="L3" r:id="rId2" display="https://ens.dk/en/analyses-and-statistics/technology-data-energy-storage" xr:uid="{CC772C5F-6FB8-4781-90C5-693F903DFACE}"/>
    <hyperlink ref="L4" r:id="rId3" display="https://ens.dk/en/analyses-and-statistics/technology-data-energy-storage" xr:uid="{D5AAEDB9-6CE2-4EAF-A687-9FB67A0CDFD3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8B4224-F896-463B-8D5C-0D26319C99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CH4_Production</vt:lpstr>
      <vt:lpstr>CH4_Storage</vt:lpstr>
      <vt:lpstr>CH4_Network</vt:lpstr>
      <vt:lpstr>H2_Production</vt:lpstr>
      <vt:lpstr>H2_Storage</vt:lpstr>
      <vt:lpstr>H2_Network</vt:lpstr>
      <vt:lpstr>Technology_Costs</vt:lpstr>
      <vt:lpstr>Technology_Conversion</vt:lpstr>
      <vt:lpstr>Storage_Costs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Pison Virginie</dc:creator>
  <cp:lastModifiedBy>Porras, Álvaro</cp:lastModifiedBy>
  <dcterms:created xsi:type="dcterms:W3CDTF">2024-06-25T06:34:46Z</dcterms:created>
  <dcterms:modified xsi:type="dcterms:W3CDTF">2025-07-28T13:52:04Z</dcterms:modified>
</cp:coreProperties>
</file>