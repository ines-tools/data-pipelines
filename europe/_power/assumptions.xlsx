
<file path=[Content_Types].xml><?xml version="1.0" encoding="utf-8"?>
<Types xmlns="http://schemas.openxmlformats.org/package/2006/content-types">
  <Default Extension="xml" ContentType="application/xml"/>
  <Default Extension="wmf" ContentType="image/x-wmf"/>
  <Default Extension="bin" ContentType="application/vnd.openxmlformats-officedocument.oleObject"/>
  <Default Extension="rels" ContentType="application/vnd.openxmlformats-package.relationships+xml"/>
  <Default Extension="jpeg" ContentType="image/jpeg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<Relationships xmlns="http://schemas.openxmlformats.org/package/2006/relationships"><Relationship  Id="rId1" Type="http://schemas.openxmlformats.org/officeDocument/2006/relationships/extended-properties" Target="docProps/app.xml"/><Relationship  Id="rId2" Type="http://schemas.openxmlformats.org/package/2006/relationships/metadata/core-properties" Target="docProps/core.xml"/><Relationship  Id="rId3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4="http://schemas.microsoft.com/office/spreadsheetml/2009/9/main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/>
  <bookViews>
    <workbookView xWindow="360" yWindow="15" windowWidth="20955" windowHeight="9720" activeTab="0"/>
  </bookViews>
  <sheets>
    <sheet name="technology" sheetId="1" state="visible" r:id="rId1"/>
    <sheet name="storage" sheetId="2" state="visible" r:id="rId2"/>
  </sheets>
  <calcPr/>
  <extLst>
    <ext xmlns:x15="http://schemas.microsoft.com/office/spreadsheetml/2010/11/main" uri="{D0CA8CA8-9F24-4464-BF8E-62219DCF47F9}"/>
  </extLst>
</workbook>
</file>

<file path=xl/sharedStrings.xml><?xml version="1.0" encoding="utf-8"?>
<sst xmlns="http://schemas.openxmlformats.org/spreadsheetml/2006/main" count="60" uniqueCount="60">
  <si>
    <t>technology</t>
  </si>
  <si>
    <t>conversion_rate</t>
  </si>
  <si>
    <t xml:space="preserve">investment_cost [EUR2020/MWh]</t>
  </si>
  <si>
    <t>lifetime</t>
  </si>
  <si>
    <t xml:space="preserve">fixed_cost [% investment]</t>
  </si>
  <si>
    <t xml:space="preserve">operational_cost [EUR2020/MWh]</t>
  </si>
  <si>
    <t xml:space="preserve">CO2_captured [tCO2/MWh]</t>
  </si>
  <si>
    <t>ccs_heat_MWh_per_tCO2</t>
  </si>
  <si>
    <t>ccs_elec_MWh_per_tCO2</t>
  </si>
  <si>
    <t>ccs_capex_mEUR_per_tCO2h</t>
  </si>
  <si>
    <t>ccs_fixed_om_mEUR_per_tCO2h</t>
  </si>
  <si>
    <t>ccs_var_om_EUR_per_tCO2</t>
  </si>
  <si>
    <t>source_url_1</t>
  </si>
  <si>
    <t>source_url_2</t>
  </si>
  <si>
    <t>source_url_3</t>
  </si>
  <si>
    <t>notes</t>
  </si>
  <si>
    <t>OCGT-H2</t>
  </si>
  <si>
    <t>https://ens.dk/media/6570/download</t>
  </si>
  <si>
    <t>https://www.sciencedirect.com/science/article/pii/S0360319924023681</t>
  </si>
  <si>
    <t xml:space="preserve">H2-fired OCGT: started from DEA natural-gas OCGT assumptions and applied +8.5% CAPEX uplift from Freitag et al. (2024) for H2 GT plants. Efficiency and O&amp;M left equal to NG as a first-order assumption.</t>
  </si>
  <si>
    <t>OCGT+CC</t>
  </si>
  <si>
    <t>https://ens.dk/en/analyses-and-statistics/technology-data-carbon-capture-transport-and-storage</t>
  </si>
  <si>
    <t>https://ens.dk/media/5729/download</t>
  </si>
  <si>
    <t xml:space="preserve"> CCS add-on parameters from DEA CCS datasheet '401.a Post comb - small CHP' (amine post-comb capture retrofit). These are generic capture-system assumptions (not gas-specific).</t>
  </si>
  <si>
    <t>CCGT-H2</t>
  </si>
  <si>
    <t xml:space="preserve">H2-fired CCGT: started from DEA natural-gas CCGT assumptions and applied +8.5% CAPEX uplift from Freitag et al. (2024). Efficiency and O&amp;M left equal to NG as a first-order assumption.</t>
  </si>
  <si>
    <t>CCGT+CC</t>
  </si>
  <si>
    <t>https://climit.no/app/uploads/sites/4/2019/09/IEAGHG-Report-2019-02-Towards-zero-emissions.pdf</t>
  </si>
  <si>
    <t xml:space="preserve"> CCS add-on parameters from DEA CCS datasheet '401.a Post comb - small CHP' (amine post-comb capture retrofit). These are generic capture-system assumptions (not gas-specific). CCGT (NGCC) efficiency from IEAGHG report, 48.57% (LHV) with 90% capture rate from Table 20. Investment cost from Table 21.</t>
  </si>
  <si>
    <t>SCPC+CC</t>
  </si>
  <si>
    <t>https://ens.dk/sites/ens.dk/files/Statistik/technology_data_for_el_and_dh_13.xlsx</t>
  </si>
  <si>
    <t xml:space="preserve">SCPC+CC efficiency from IEAGHG report, net plant (LHV) efficiency with 90% capture rate from Table 17 and costs from Table 18. Base SCPC O&amp;M from DEA el&amp;DH datasheets (May 2025 Excel). CCS-related cost/energy penalty handled via CCS add-on columns. | CAPEX from DEA Electricity &amp; District Heating catalogue + DEA CCS catalogue. SCPC base plant (~2.2–2.5 M€/MW) plus post-combustion capture (~1.3–1.6 M€/MW), total ≈3.5–4.0 M€/MW (4Q2023 EUR).</t>
  </si>
  <si>
    <t>bioST</t>
  </si>
  <si>
    <t xml:space="preserve">Bio steam turbine proxied by DEA 'Biomass CHP - extraction - wood chips - large' (May 2025 Excel).</t>
  </si>
  <si>
    <t>fuelcell</t>
  </si>
  <si>
    <t xml:space="preserve">Hydrogen fuel cell proxied by DEA 'Low temp PEM fuel cell - back pressure - hydrogen - small' (May 2025 Excel). Variable O&amp;M = 0 in DEA.</t>
  </si>
  <si>
    <t>geothermal</t>
  </si>
  <si>
    <t>https://atb.nrel.gov/electricity/2024/geothermal</t>
  </si>
  <si>
    <t>https://www.irs.gov/individuals/international-taxpayers/yearly-average-currency-exchange-rates</t>
  </si>
  <si>
    <t xml:space="preserve">Geothermal fixed O&amp;M from NREL ATB 2024 Geothermal (Hydro/Flash). Converted from 2022 $/kW-yr to EUR/MW-yr using IRS 2022 yearly average (1 USD = 0.951 EUR). Variable O&amp;M assumed 0 (not provided in ATB summary). | Conversion rate set to 12% as representative average across DEA geothermal electricity datasheets (2–5 km depth). DEA reports net electrical efficiencies roughly 10–15% depending on depth; midpoint used. | CAPEX from DEA geothermal electricity datasheets (2–5 km depth). Reported range ≈3–6 M€/MW depending on depth and drilling cost; 4.5 M€/MW used as representative average.</t>
  </si>
  <si>
    <t>wasteST</t>
  </si>
  <si>
    <t>SCPC</t>
  </si>
  <si>
    <t>CCGT</t>
  </si>
  <si>
    <t>nuclear-3</t>
  </si>
  <si>
    <t>oil-eng</t>
  </si>
  <si>
    <t>storage</t>
  </si>
  <si>
    <t>efficiency</t>
  </si>
  <si>
    <t xml:space="preserve">investment_cost_energy [EUR/MWh]</t>
  </si>
  <si>
    <t xml:space="preserve">investment_cost_power [EUR/MW]</t>
  </si>
  <si>
    <t xml:space="preserve">fixed_cost_energy [% investment]</t>
  </si>
  <si>
    <t xml:space="preserve">fixed_cost_power [% investment]</t>
  </si>
  <si>
    <t xml:space="preserve">operational_cost [EUR/MWh]</t>
  </si>
  <si>
    <t>battery-storage</t>
  </si>
  <si>
    <t>https://ens.dk/en/analyses-and-statistics/technology-data-energy-storage</t>
  </si>
  <si>
    <t>https://ens.dk/media/6589/download</t>
  </si>
  <si>
    <t xml:space="preserve">DEA Energy Storage datasheet '180 Lithium Ion Battery' (Utility-scale). Efficiencies from charge/discharge; capex from 'Specific investment [MEUR2020/MWh]' (2025 ctrl).</t>
  </si>
  <si>
    <t>battery-storage-iron-air</t>
  </si>
  <si>
    <t>https://formenergy.com/technology/</t>
  </si>
  <si>
    <t>https://www.pv-magazine.com/2023/07/14/former-us-coal-plant-to-host-100-hour-iron-air-battery/</t>
  </si>
  <si>
    <t xml:space="preserve">Iron-air battery (Form Energy) indicative assumptions: 3.5 MW / 350 MWh power block, 100h duration, ~40% AC-AC round-trip efficiency, 20y lifetime from Form Energy presentation; ~$20/kWh is commonly cited as a cost target (not a verified realized project cost). Fixed cost from Form estimate cited by pv-magazine ($19/kW-y), converted using IRS 2023 average 1 USD = 0.924 EUR.</t>
  </si>
</sst>
</file>

<file path=xl/styles.xml><?xml version="1.0" encoding="utf-8"?>
<styleSheet xmlns="http://schemas.openxmlformats.org/spreadsheetml/2006/main" xmlns:mc="http://schemas.openxmlformats.org/markup-compatibility/2006" xmlns:x14="http://schemas.microsoft.com/office/spreadsheetml/2009/9/main" xmlns:x14ac="http://schemas.microsoft.com/office/spreadsheetml/2009/9/ac" xmlns:x16r2="http://schemas.microsoft.com/office/spreadsheetml/2015/02/main" mc:Ignorable="x14ac x16r2">
  <numFmts count="1">
    <numFmt numFmtId="164" formatCode="0.0000"/>
  </numFmts>
  <fonts count="3">
    <font>
      <sz val="11.000000"/>
      <color theme="1"/>
      <name val="Calibri"/>
      <scheme val="minor"/>
    </font>
    <font>
      <u/>
      <sz val="11.000000"/>
      <color theme="10"/>
      <name val="Calibri"/>
      <scheme val="minor"/>
    </font>
    <font>
      <b/>
      <sz val="11.000000"/>
      <name val="Calibri"/>
    </font>
  </fonts>
  <fills count="2">
    <fill>
      <patternFill patternType="none"/>
    </fill>
    <fill>
      <patternFill patternType="gray125"/>
    </fill>
  </fills>
  <borders count="1">
    <border>
      <left style="none"/>
      <right style="none"/>
      <top style="none"/>
      <bottom style="none"/>
      <diagonal style="none"/>
    </border>
  </borders>
  <cellStyleXfs count="3">
    <xf fontId="0" fillId="0" borderId="0" numFmtId="0" applyNumberFormat="1" applyFont="1" applyFill="1" applyBorder="1"/>
    <xf fontId="1" fillId="0" borderId="0" numFmtId="0" applyNumberFormat="0" applyFont="1" applyFill="0" applyBorder="0" applyProtection="0"/>
    <xf fontId="0" fillId="0" borderId="0" numFmtId="0" applyNumberFormat="1" applyFont="1" applyFill="1" applyBorder="1"/>
  </cellStyleXfs>
  <cellXfs count="8">
    <xf fontId="0" fillId="0" borderId="0" numFmtId="0" xfId="0"/>
    <xf fontId="2" fillId="0" borderId="0" numFmtId="0" xfId="0" applyFont="1" applyAlignment="1">
      <alignment wrapText="1"/>
    </xf>
    <xf fontId="0" fillId="0" borderId="0" numFmtId="1" xfId="0" applyNumberFormat="1"/>
    <xf fontId="0" fillId="0" borderId="0" numFmtId="164" xfId="0" applyNumberFormat="1"/>
    <xf fontId="1" fillId="0" borderId="0" numFmtId="0" xfId="1" applyFont="1"/>
    <xf fontId="0" fillId="0" borderId="0" numFmtId="0" xfId="0"/>
    <xf fontId="2" fillId="0" borderId="0" numFmtId="0" xfId="0" applyFont="1"/>
    <xf fontId="0" fillId="0" borderId="0" numFmtId="0" xfId="2"/>
  </cellXfs>
  <cellStyles count="3">
    <cellStyle name="Hyperlink" xfId="1" builtinId="8"/>
    <cellStyle name="Normal" xfId="0" builtinId="0"/>
    <cellStyle name="Normal 2" xfId="2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 Id="rId1" Type="http://schemas.openxmlformats.org/officeDocument/2006/relationships/worksheet" Target="worksheets/sheet1.xml"/><Relationship  Id="rId2" Type="http://schemas.openxmlformats.org/officeDocument/2006/relationships/worksheet" Target="worksheets/sheet2.xml"/><Relationship  Id="rId3" Type="http://schemas.openxmlformats.org/officeDocument/2006/relationships/theme" Target="theme/theme1.xml"/><Relationship  Id="rId4" Type="http://schemas.openxmlformats.org/officeDocument/2006/relationships/sharedStrings" Target="sharedStrings.xml"/><Relationship  Id="rId5" Type="http://schemas.openxmlformats.org/officeDocument/2006/relationships/styles" Target="styles.xml"/></Relationships>
</file>

<file path=xl/theme/theme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Angsana New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明朝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eme/theme1.xml><?xml version="1.0" encoding="utf-8"?>
<a:theme xmlns:a="http://schemas.openxmlformats.org/drawingml/2006/main" xmlns:r="http://schemas.openxmlformats.org/officeDocument/2006/relationships" xmlns:p="http://schemas.openxmlformats.org/presentation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1"/>
        </a:gradFill>
      </a:bgFillStyleLst>
    </a:fmtScheme>
  </a:themeElements>
  <a:objectDefaults/>
</a:theme>
</file>

<file path=xl/worksheets/_rels/sheet1.xml.rels><?xml version="1.0" encoding="UTF-8" standalone="yes"?><Relationships xmlns="http://schemas.openxmlformats.org/package/2006/relationships"><Relationship  Id="rId1" Type="http://schemas.openxmlformats.org/officeDocument/2006/relationships/hyperlink" Target="https://ens.dk/en/analyses-and-statistics/technology-data-carbon-capture-transport-and-storage" TargetMode="External"/><Relationship  Id="rId2" Type="http://schemas.openxmlformats.org/officeDocument/2006/relationships/hyperlink" Target="https://ens.dk/media/5729/download" TargetMode="External"/><Relationship  Id="rId3" Type="http://schemas.openxmlformats.org/officeDocument/2006/relationships/hyperlink" Target="https://climit.no/app/uploads/sites/4/2019/09/IEAGHG-Report-2019-02-Towards-zero-emissions.pdf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00" workbookViewId="0">
      <selection activeCell="D11" activeCellId="0" sqref="D11"/>
    </sheetView>
  </sheetViews>
  <sheetFormatPr defaultRowHeight="14.25"/>
  <cols>
    <col bestFit="1" customWidth="1" min="1" max="1" width="19.28515625"/>
    <col customWidth="1" min="2" max="2" width="17.42578125"/>
    <col customWidth="1" min="3" max="3" width="18"/>
    <col customWidth="1" min="4" max="4" width="13"/>
    <col customWidth="1" min="5" max="7" width="18"/>
    <col customWidth="1" min="8" max="8" width="14.5703125"/>
    <col customWidth="1" min="9" max="9" width="14.140625"/>
    <col customWidth="1" min="10" max="10" width="16.42578125"/>
    <col customWidth="1" min="11" max="11" width="20.140625"/>
    <col customWidth="1" min="12" max="12" width="16.42578125"/>
    <col customWidth="1" min="13" max="20" width="18"/>
  </cols>
  <sheetData>
    <row r="1" ht="28.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</row>
    <row r="2">
      <c r="A2" t="s">
        <v>16</v>
      </c>
      <c r="B2">
        <v>0.40000000000000002</v>
      </c>
      <c r="C2" s="2">
        <v>680718.04542770004</v>
      </c>
      <c r="D2">
        <v>25</v>
      </c>
      <c r="E2" s="3">
        <v>3.0461610560025001</v>
      </c>
      <c r="F2" s="3">
        <v>4.6788399592000012</v>
      </c>
      <c r="M2" t="s">
        <v>17</v>
      </c>
      <c r="N2" t="s">
        <v>18</v>
      </c>
      <c r="P2" t="s">
        <v>19</v>
      </c>
    </row>
    <row r="3">
      <c r="A3" t="s">
        <v>20</v>
      </c>
      <c r="B3">
        <v>0.40000000000000002</v>
      </c>
      <c r="C3" s="2">
        <v>627389.90362</v>
      </c>
      <c r="D3">
        <v>25</v>
      </c>
      <c r="E3" s="3">
        <v>3.3050847457627119</v>
      </c>
      <c r="F3" s="3">
        <v>4.6788399592000012</v>
      </c>
      <c r="G3">
        <f>0.18</f>
        <v>0.17999999999999999</v>
      </c>
      <c r="H3">
        <v>0.83299999999999996</v>
      </c>
      <c r="I3">
        <v>0.029999999999999999</v>
      </c>
      <c r="J3">
        <v>8.3000000000000007</v>
      </c>
      <c r="K3">
        <v>0.25</v>
      </c>
      <c r="L3">
        <v>2.5</v>
      </c>
      <c r="M3" t="s">
        <v>21</v>
      </c>
      <c r="N3" t="s">
        <v>22</v>
      </c>
      <c r="P3" t="s">
        <v>23</v>
      </c>
    </row>
    <row r="4">
      <c r="A4" t="s">
        <v>24</v>
      </c>
      <c r="B4">
        <v>0.56000000000000005</v>
      </c>
      <c r="C4" s="2">
        <v>1015308.2711464</v>
      </c>
      <c r="D4">
        <v>25</v>
      </c>
      <c r="E4" s="3">
        <v>3.0687054880603264</v>
      </c>
      <c r="F4" s="3">
        <v>4.6788399592000012</v>
      </c>
      <c r="M4" t="s">
        <v>17</v>
      </c>
      <c r="N4" t="s">
        <v>18</v>
      </c>
      <c r="P4" t="s">
        <v>25</v>
      </c>
    </row>
    <row r="5">
      <c r="A5" t="s">
        <v>26</v>
      </c>
      <c r="B5">
        <v>0.48570000000000002</v>
      </c>
      <c r="C5" s="2">
        <v>1704000</v>
      </c>
      <c r="D5">
        <v>25</v>
      </c>
      <c r="E5" s="3">
        <v>3.3380281690000002</v>
      </c>
      <c r="F5" s="3">
        <v>12.607127999999999</v>
      </c>
      <c r="G5">
        <f>0.18</f>
        <v>0.17999999999999999</v>
      </c>
      <c r="H5">
        <v>0.83299999999999996</v>
      </c>
      <c r="I5">
        <v>0.029999999999999999</v>
      </c>
      <c r="J5">
        <v>8.3000000000000007</v>
      </c>
      <c r="K5">
        <v>0.25</v>
      </c>
      <c r="L5">
        <v>2.5</v>
      </c>
      <c r="M5" s="4" t="s">
        <v>21</v>
      </c>
      <c r="N5" s="4" t="s">
        <v>22</v>
      </c>
      <c r="O5" s="4" t="s">
        <v>27</v>
      </c>
      <c r="P5" s="5" t="s">
        <v>28</v>
      </c>
    </row>
    <row r="6">
      <c r="A6" t="s">
        <v>29</v>
      </c>
      <c r="B6">
        <v>0.3448</v>
      </c>
      <c r="C6" s="2">
        <v>2808000</v>
      </c>
      <c r="D6">
        <v>25</v>
      </c>
      <c r="E6" s="3">
        <v>2.7528489999999999</v>
      </c>
      <c r="F6" s="3">
        <v>21.215</v>
      </c>
      <c r="G6">
        <v>0.33300000000000002</v>
      </c>
      <c r="H6">
        <v>0.83299999999999996</v>
      </c>
      <c r="I6">
        <v>0.029999999999999999</v>
      </c>
      <c r="J6">
        <v>8.3000000000000007</v>
      </c>
      <c r="K6">
        <v>0.25</v>
      </c>
      <c r="L6">
        <v>2.5</v>
      </c>
      <c r="M6" t="s">
        <v>30</v>
      </c>
      <c r="N6" t="s">
        <v>22</v>
      </c>
      <c r="O6" s="4" t="s">
        <v>27</v>
      </c>
      <c r="P6" s="5" t="s">
        <v>31</v>
      </c>
    </row>
    <row r="7">
      <c r="A7" t="s">
        <v>32</v>
      </c>
      <c r="B7">
        <v>0.42999999999999999</v>
      </c>
      <c r="C7" s="2"/>
      <c r="D7">
        <v>20</v>
      </c>
      <c r="E7" s="3">
        <v>9.3528001965583201</v>
      </c>
      <c r="F7" s="3">
        <v>2.7647690668</v>
      </c>
      <c r="M7" t="s">
        <v>30</v>
      </c>
      <c r="P7" t="s">
        <v>33</v>
      </c>
    </row>
    <row r="8">
      <c r="A8" t="s">
        <v>34</v>
      </c>
      <c r="B8">
        <v>0.5</v>
      </c>
      <c r="C8" s="2"/>
      <c r="E8" s="3">
        <v>7.2300446307531381</v>
      </c>
      <c r="F8" s="3">
        <v>0</v>
      </c>
      <c r="M8" t="s">
        <v>30</v>
      </c>
      <c r="P8" t="s">
        <v>35</v>
      </c>
    </row>
    <row r="9">
      <c r="A9" t="s">
        <v>36</v>
      </c>
      <c r="B9">
        <v>0.12</v>
      </c>
      <c r="C9" s="2">
        <v>4500000</v>
      </c>
      <c r="D9">
        <v>30</v>
      </c>
      <c r="E9" s="3">
        <v>2.5595773924911289</v>
      </c>
      <c r="F9" s="3">
        <v>0</v>
      </c>
      <c r="M9" t="s">
        <v>37</v>
      </c>
      <c r="N9" t="s">
        <v>38</v>
      </c>
      <c r="P9" t="s">
        <v>39</v>
      </c>
    </row>
    <row r="10">
      <c r="A10" t="s">
        <v>40</v>
      </c>
      <c r="C10" s="2"/>
      <c r="D10">
        <v>30</v>
      </c>
      <c r="E10" s="3"/>
      <c r="F10" s="3">
        <v>26.573684220000001</v>
      </c>
    </row>
    <row r="11">
      <c r="A11" t="s">
        <v>41</v>
      </c>
      <c r="B11">
        <v>0.44400000000000001</v>
      </c>
      <c r="C11" s="2">
        <v>1743000</v>
      </c>
      <c r="D11">
        <v>40</v>
      </c>
      <c r="F11" s="3"/>
    </row>
    <row r="12">
      <c r="A12" t="s">
        <v>42</v>
      </c>
      <c r="D12">
        <v>25</v>
      </c>
    </row>
    <row r="13">
      <c r="A13" t="s">
        <v>43</v>
      </c>
      <c r="D13">
        <v>80</v>
      </c>
    </row>
    <row r="14">
      <c r="A14" t="s">
        <v>44</v>
      </c>
      <c r="D14">
        <v>25</v>
      </c>
    </row>
  </sheetData>
  <hyperlinks>
    <hyperlink r:id="rId1" ref="M5"/>
    <hyperlink r:id="rId2" ref="N5"/>
    <hyperlink r:id="rId3" ref="O5"/>
    <hyperlink r:id="rId3" ref="O6"/>
  </hyperlinks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00" workbookViewId="0">
      <selection activeCell="B4" activeCellId="0" sqref="B4"/>
    </sheetView>
  </sheetViews>
  <sheetFormatPr defaultRowHeight="15"/>
  <cols>
    <col bestFit="1" customWidth="1" min="1" max="1" width="22.42578125"/>
    <col customWidth="1" min="2" max="2" width="18"/>
    <col bestFit="1" customWidth="1" min="3" max="3" width="27.5703125"/>
    <col customWidth="1" min="4" max="4" width="27.5703125"/>
    <col customWidth="1" min="5" max="14" width="18"/>
  </cols>
  <sheetData>
    <row r="1" ht="30">
      <c r="A1" s="6" t="s">
        <v>45</v>
      </c>
      <c r="B1" s="6" t="s">
        <v>46</v>
      </c>
      <c r="C1" s="1" t="s">
        <v>47</v>
      </c>
      <c r="D1" s="1" t="s">
        <v>48</v>
      </c>
      <c r="E1" s="6" t="s">
        <v>3</v>
      </c>
      <c r="F1" s="1" t="s">
        <v>49</v>
      </c>
      <c r="G1" s="1" t="s">
        <v>50</v>
      </c>
      <c r="H1" s="1" t="s">
        <v>51</v>
      </c>
      <c r="I1" s="6" t="s">
        <v>12</v>
      </c>
      <c r="J1" s="6" t="s">
        <v>13</v>
      </c>
      <c r="K1" s="6" t="s">
        <v>15</v>
      </c>
    </row>
    <row r="2">
      <c r="A2" t="s">
        <v>52</v>
      </c>
      <c r="B2">
        <v>0.96999999999999997</v>
      </c>
      <c r="C2">
        <v>245000</v>
      </c>
      <c r="D2">
        <v>86000</v>
      </c>
      <c r="E2">
        <v>20</v>
      </c>
      <c r="F2">
        <v>3.4299999999999997</v>
      </c>
      <c r="G2" s="7">
        <v>9.7699999999999996</v>
      </c>
      <c r="H2">
        <v>0</v>
      </c>
      <c r="I2" t="s">
        <v>53</v>
      </c>
      <c r="J2" t="s">
        <v>54</v>
      </c>
      <c r="K2" t="s">
        <v>55</v>
      </c>
    </row>
    <row r="3">
      <c r="A3" t="s">
        <v>56</v>
      </c>
      <c r="B3">
        <v>0.63</v>
      </c>
      <c r="C3">
        <v>20000</v>
      </c>
      <c r="D3">
        <v>1900000</v>
      </c>
      <c r="E3">
        <v>20</v>
      </c>
      <c r="F3">
        <v>0.01</v>
      </c>
      <c r="G3" s="7">
        <v>2.9100000000000001</v>
      </c>
      <c r="H3">
        <v>0</v>
      </c>
      <c r="I3" t="s">
        <v>57</v>
      </c>
      <c r="J3" t="s">
        <v>58</v>
      </c>
      <c r="K3" t="s">
        <v>59</v>
      </c>
    </row>
    <row r="4">
      <c r="A4" s="5"/>
    </row>
  </sheetData>
  <printOptions headings="0" gridLines="0"/>
  <pageMargins left="0.75" right="0.75" top="1" bottom="1" header="0.5" footer="0.5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ONLYOFFICE/9.3.1.8</Application>
  <DocSecurity>0</DocSecurity>
  <ScaleCrop>0</ScaleCrop>
  <HeadingPairs>
    <vt:vector size="0" baseType="variant"/>
  </HeadingPairs>
  <TitlesOfParts>
    <vt:vector size="0" baseType="lpstr"/>
  </TitlesOfParts>
  <LinksUpToDate>0</LinksUpToDate>
  <SharedDoc>0</SharedDoc>
  <HyperlinksChanged>0</HyperlinksChanged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revision>6</cp:revision>
  <dcterms:created xsi:type="dcterms:W3CDTF">2026-01-23T11:04:05Z</dcterms:created>
  <dcterms:modified xsi:type="dcterms:W3CDTF">2026-04-03T09:36:04Z</dcterms:modified>
</cp:coreProperties>
</file>