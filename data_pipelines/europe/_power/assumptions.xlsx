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1612\MopoProjects\Mopo_WP2_T5_datapipeline_power_20250522\"/>
    </mc:Choice>
  </mc:AlternateContent>
  <xr:revisionPtr revIDLastSave="0" documentId="13_ncr:1_{51DE7501-36D9-4EBC-A8A8-0AA8B1379DF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echnology" sheetId="1" r:id="rId1"/>
    <sheet name="sto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/>
</calcChain>
</file>

<file path=xl/sharedStrings.xml><?xml version="1.0" encoding="utf-8"?>
<sst xmlns="http://schemas.openxmlformats.org/spreadsheetml/2006/main" count="69" uniqueCount="57">
  <si>
    <t>technology</t>
  </si>
  <si>
    <t>conversion_rate</t>
  </si>
  <si>
    <t>investment_cost [EUR2020/MWh]</t>
  </si>
  <si>
    <t>lifetime</t>
  </si>
  <si>
    <t>fixed_cost [% investment]</t>
  </si>
  <si>
    <t>operational_cost [EUR2020/MWh]</t>
  </si>
  <si>
    <t>ccs_heat_MWh_per_tCO2</t>
  </si>
  <si>
    <t>ccs_elec_MWh_per_tCO2</t>
  </si>
  <si>
    <t>ccs_capex_mEUR_per_tCO2h</t>
  </si>
  <si>
    <t>ccs_fixed_om_mEUR_per_tCO2h</t>
  </si>
  <si>
    <t>ccs_var_om_EUR_per_tCO2</t>
  </si>
  <si>
    <t>source_url_1</t>
  </si>
  <si>
    <t>source_url_2</t>
  </si>
  <si>
    <t>notes</t>
  </si>
  <si>
    <t>OCGT-H2</t>
  </si>
  <si>
    <t>https://ens.dk/media/6570/download</t>
  </si>
  <si>
    <t>https://www.sciencedirect.com/science/article/pii/S0360319924023681</t>
  </si>
  <si>
    <t>H2-fired OCGT: started from DEA natural-gas OCGT assumptions and applied +8.5% CAPEX uplift from Freitag et al. (2024) for H2 GT plants. Efficiency and O&amp;M left equal to NG as a first-order assumption.</t>
  </si>
  <si>
    <t>OCGT+CC</t>
  </si>
  <si>
    <t>https://ens.dk/en/analyses-and-statistics/technology-data-carbon-capture-transport-and-storage</t>
  </si>
  <si>
    <t>https://ens.dk/media/5729/download</t>
  </si>
  <si>
    <t xml:space="preserve"> CCS add-on parameters from DEA CCS datasheet '401.a Post comb - small CHP' (amine post-comb capture retrofit). These are generic capture-system assumptions (not gas-specific).</t>
  </si>
  <si>
    <t>CCGT-H2</t>
  </si>
  <si>
    <t>H2-fired CCGT: started from DEA natural-gas CCGT assumptions and applied +8.5% CAPEX uplift from Freitag et al. (2024). Efficiency and O&amp;M left equal to NG as a first-order assumption.</t>
  </si>
  <si>
    <t>CCGT+CC</t>
  </si>
  <si>
    <t>SCPC+CC</t>
  </si>
  <si>
    <t>https://ens.dk/sites/ens.dk/files/Statistik/technology_data_for_el_and_dh_13.xlsx</t>
  </si>
  <si>
    <t>bioST</t>
  </si>
  <si>
    <t>Bio steam turbine proxied by DEA 'Biomass CHP - extraction - wood chips - large' (May 2025 Excel).</t>
  </si>
  <si>
    <t>fuelcell</t>
  </si>
  <si>
    <t>Hydrogen fuel cell proxied by DEA 'Low temp PEM fuel cell - back pressure - hydrogen - small' (May 2025 Excel). Variable O&amp;M = 0 in DEA.</t>
  </si>
  <si>
    <t>geothermal</t>
  </si>
  <si>
    <t>https://atb.nrel.gov/electricity/2024/geothermal</t>
  </si>
  <si>
    <t>https://www.irs.gov/individuals/international-taxpayers/yearly-average-currency-exchange-rates</t>
  </si>
  <si>
    <t>Geothermal fixed O&amp;M from NREL ATB 2024 Geothermal (Hydro/Flash). Converted from 2022 $/kW-yr to EUR/MW-yr using IRS 2022 yearly average (1 USD = 0.951 EUR). Variable O&amp;M assumed 0 (not provided in ATB summary). | Conversion rate set to 12% as representative average across DEA geothermal electricity datasheets (2–5 km depth). DEA reports net electrical efficiencies roughly 10–15% depending on depth; midpoint used. | CAPEX from DEA geothermal electricity datasheets (2–5 km depth). Reported range ≈3–6 M€/MW depending on depth and drilling cost; 4.5 M€/MW used as representative average.</t>
  </si>
  <si>
    <t>wasteST</t>
  </si>
  <si>
    <t>storage</t>
  </si>
  <si>
    <t>efficiency</t>
  </si>
  <si>
    <t>operational_cost [EUR/MWh]</t>
  </si>
  <si>
    <t>battery-storage</t>
  </si>
  <si>
    <t>https://ens.dk/en/analyses-and-statistics/technology-data-energy-storage</t>
  </si>
  <si>
    <t>https://ens.dk/media/6589/download</t>
  </si>
  <si>
    <t>DEA Energy Storage datasheet '180 Lithium Ion Battery' (Utility-scale). Efficiencies from charge/discharge; capex from 'Specific investment [MEUR2020/MWh]' (2025 ctrl).</t>
  </si>
  <si>
    <t>battery-storage-iron-air</t>
  </si>
  <si>
    <t>https://www.pv-magazine.com/2023/07/14/former-us-coal-plant-to-host-100-hour-iron-air-battery/</t>
  </si>
  <si>
    <t>investment_cost_energy [EUR/MWh]</t>
  </si>
  <si>
    <t>investment_cost_power [EUR/MW]</t>
  </si>
  <si>
    <t>fixed_cost_energy [% investment]</t>
  </si>
  <si>
    <t>fixed_cost_power [% investment]</t>
  </si>
  <si>
    <t>https://formenergy.com/technology/</t>
  </si>
  <si>
    <t>CO2_captured [tCO2/MWh]</t>
  </si>
  <si>
    <t>source_url_3</t>
  </si>
  <si>
    <t>SCPC</t>
  </si>
  <si>
    <t>https://climit.no/app/uploads/sites/4/2019/09/IEAGHG-Report-2019-02-Towards-zero-emissions.pdf</t>
  </si>
  <si>
    <t xml:space="preserve"> CCS add-on parameters from DEA CCS datasheet '401.a Post comb - small CHP' (amine post-comb capture retrofit). These are generic capture-system assumptions (not gas-specific). CCGT (NGCC) efficiency from IEAGHG report, 48.57% (LHV) with 90% capture rate from Table 20. Investment cost from Table 21.</t>
  </si>
  <si>
    <t>SCPC+CC efficiency from IEAGHG report, net plant (LHV) efficiency with 90% capture rate from Table 17 and costs from Table 18. Base SCPC O&amp;M from DEA el&amp;DH datasheets (May 2025 Excel). CCS-related cost/energy penalty handled via CCS add-on columns. | CAPEX from DEA Electricity &amp; District Heating catalogue + DEA CCS catalogue. SCPC base plant (~2.2–2.5 M€/MW) plus post-combustion capture (~1.3–1.6 M€/MW), total ≈3.5–4.0 M€/MW (4Q2023 EUR).</t>
  </si>
  <si>
    <t>Iron-air battery (Form Energy) indicative assumptions: 3.5 MW / 350 MWh power block, 100h duration, ~40% AC-AC round-trip efficiency, 20y lifetime from Form Energy presentation; ~$20/kWh is commonly cited as a cost target (not a verified realized project cost). Fixed cost from Form estimate cited by pv-magazine ($19/kW-y), converted using IRS 2023 average 1 USD = 0.924 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</si>
</sst>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1"/>
    <xf numFmtId="0" fontId="6" fillId="0" borderId="0" xfId="2"/>
    <xf numFmtId="1" fontId="0" fillId="0" borderId="0" xfId="0" applyNumberFormat="1"/>
    <xf numFmtId="164" fontId="0" fillId="0" borderId="0" xfId="0" applyNumberFormat="1"/>
    <xf numFmtId="0" fontId="1" fillId="0" borderId="0" xfId="0" applyFont="1"/>
  </cellXfs>
  <cellStyles count="3">
    <cellStyle name="Hyperlink" xfId="2" builtinId="8"/>
    <cellStyle name="Normal" xfId="0" builtinId="0"/>
    <cellStyle name="Normal 2" xfId="1" xr:uid="{2E9EB5C5-2F4E-4BFA-85F0-0B749869C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mit.no/app/uploads/sites/4/2019/09/IEAGHG-Report-2019-02-Towards-zero-emissions.pdf" TargetMode="External"/><Relationship Id="rId2" Type="http://schemas.openxmlformats.org/officeDocument/2006/relationships/hyperlink" Target="https://ens.dk/media/5729/download" TargetMode="External"/><Relationship Id="rId1" Type="http://schemas.openxmlformats.org/officeDocument/2006/relationships/hyperlink" Target="https://ens.dk/en/analyses-and-statistics/technology-data-carbon-capture-transport-and-storage" TargetMode="External"/><Relationship Id="rId4" Type="http://schemas.openxmlformats.org/officeDocument/2006/relationships/hyperlink" Target="https://climit.no/app/uploads/sites/4/2019/09/IEAGHG-Report-2019-02-Towards-zero-emiss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workbookViewId="0">
      <selection activeCell="F6" sqref="F6"/>
    </sheetView>
  </sheetViews>
  <sheetFormatPr defaultRowHeight="15" x14ac:dyDescent="0.25"/>
  <cols>
    <col min="1" max="1" width="19.28515625" bestFit="1" customWidth="1"/>
    <col min="2" max="2" width="17.42578125" customWidth="1"/>
    <col min="3" max="3" width="18" customWidth="1"/>
    <col min="4" max="4" width="13" customWidth="1"/>
    <col min="5" max="7" width="18" customWidth="1"/>
    <col min="8" max="8" width="14.5703125" customWidth="1"/>
    <col min="9" max="9" width="14.140625" customWidth="1"/>
    <col min="10" max="10" width="16.42578125" customWidth="1"/>
    <col min="11" max="11" width="20.140625" customWidth="1"/>
    <col min="12" max="12" width="16.42578125" customWidth="1"/>
    <col min="13" max="20" width="18" customWidth="1"/>
  </cols>
  <sheetData>
    <row r="1" spans="1:1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50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51</v>
      </c>
      <c r="P1" s="3" t="s">
        <v>13</v>
      </c>
    </row>
    <row r="2" spans="1:16" x14ac:dyDescent="0.25">
      <c r="A2" t="s">
        <v>14</v>
      </c>
      <c r="B2">
        <v>0.4</v>
      </c>
      <c r="C2" s="6">
        <v>680718.04542770004</v>
      </c>
      <c r="D2">
        <v>25</v>
      </c>
      <c r="E2" s="7">
        <v>3.0461610560025001</v>
      </c>
      <c r="F2" s="7">
        <v>4.6788399592000012</v>
      </c>
      <c r="M2" t="s">
        <v>15</v>
      </c>
      <c r="N2" t="s">
        <v>16</v>
      </c>
      <c r="P2" t="s">
        <v>17</v>
      </c>
    </row>
    <row r="3" spans="1:16" x14ac:dyDescent="0.25">
      <c r="A3" t="s">
        <v>18</v>
      </c>
      <c r="B3">
        <v>0.4</v>
      </c>
      <c r="C3" s="6">
        <v>627389.90362</v>
      </c>
      <c r="D3">
        <v>25</v>
      </c>
      <c r="E3" s="7">
        <v>3.3050847457627119</v>
      </c>
      <c r="F3" s="7">
        <v>4.6788399592000012</v>
      </c>
      <c r="G3">
        <f>0.18</f>
        <v>0.18</v>
      </c>
      <c r="H3">
        <v>0.83299999999999996</v>
      </c>
      <c r="I3">
        <v>0.03</v>
      </c>
      <c r="J3">
        <v>8.3000000000000007</v>
      </c>
      <c r="K3">
        <v>0.25</v>
      </c>
      <c r="L3">
        <v>2.5</v>
      </c>
      <c r="M3" t="s">
        <v>19</v>
      </c>
      <c r="N3" t="s">
        <v>20</v>
      </c>
      <c r="P3" t="s">
        <v>21</v>
      </c>
    </row>
    <row r="4" spans="1:16" x14ac:dyDescent="0.25">
      <c r="A4" t="s">
        <v>22</v>
      </c>
      <c r="B4">
        <v>0.56000000000000005</v>
      </c>
      <c r="C4" s="6">
        <v>1015308.2711464</v>
      </c>
      <c r="D4">
        <v>25</v>
      </c>
      <c r="E4" s="7">
        <v>3.0687054880603264</v>
      </c>
      <c r="F4" s="7">
        <v>4.6788399592000012</v>
      </c>
      <c r="M4" t="s">
        <v>15</v>
      </c>
      <c r="N4" t="s">
        <v>16</v>
      </c>
      <c r="P4" t="s">
        <v>23</v>
      </c>
    </row>
    <row r="5" spans="1:16" x14ac:dyDescent="0.25">
      <c r="A5" t="s">
        <v>24</v>
      </c>
      <c r="B5">
        <v>0.48570000000000002</v>
      </c>
      <c r="C5" s="6">
        <v>1704000</v>
      </c>
      <c r="D5">
        <v>25</v>
      </c>
      <c r="E5" s="7">
        <v>3.3380281690000002</v>
      </c>
      <c r="F5" s="7">
        <v>12.607127999999999</v>
      </c>
      <c r="G5">
        <f>0.18</f>
        <v>0.18</v>
      </c>
      <c r="H5">
        <v>0.83299999999999996</v>
      </c>
      <c r="I5">
        <v>0.03</v>
      </c>
      <c r="J5">
        <v>8.3000000000000007</v>
      </c>
      <c r="K5">
        <v>0.25</v>
      </c>
      <c r="L5">
        <v>2.5</v>
      </c>
      <c r="M5" s="5" t="s">
        <v>19</v>
      </c>
      <c r="N5" s="5" t="s">
        <v>20</v>
      </c>
      <c r="O5" s="5" t="s">
        <v>53</v>
      </c>
      <c r="P5" s="8" t="s">
        <v>54</v>
      </c>
    </row>
    <row r="6" spans="1:16" x14ac:dyDescent="0.25">
      <c r="A6" t="s">
        <v>25</v>
      </c>
      <c r="B6">
        <v>0.3448</v>
      </c>
      <c r="C6" s="6">
        <v>2808000</v>
      </c>
      <c r="D6">
        <v>25</v>
      </c>
      <c r="E6" s="7">
        <v>2.7528489999999999</v>
      </c>
      <c r="F6" s="7">
        <v>21.215</v>
      </c>
      <c r="G6">
        <v>0.33300000000000002</v>
      </c>
      <c r="H6">
        <v>0.83299999999999996</v>
      </c>
      <c r="I6">
        <v>0.03</v>
      </c>
      <c r="J6">
        <v>8.3000000000000007</v>
      </c>
      <c r="K6">
        <v>0.25</v>
      </c>
      <c r="L6">
        <v>2.5</v>
      </c>
      <c r="M6" t="s">
        <v>26</v>
      </c>
      <c r="N6" t="s">
        <v>20</v>
      </c>
      <c r="O6" s="5" t="s">
        <v>53</v>
      </c>
      <c r="P6" s="8" t="s">
        <v>55</v>
      </c>
    </row>
    <row r="7" spans="1:16" x14ac:dyDescent="0.25">
      <c r="A7" t="s">
        <v>27</v>
      </c>
      <c r="B7">
        <v>0.43</v>
      </c>
      <c r="C7" s="6"/>
      <c r="E7" s="7">
        <v>9.3528001965583201</v>
      </c>
      <c r="F7" s="7">
        <v>2.7647690668</v>
      </c>
      <c r="M7" t="s">
        <v>26</v>
      </c>
      <c r="P7" t="s">
        <v>28</v>
      </c>
    </row>
    <row r="8" spans="1:16" x14ac:dyDescent="0.25">
      <c r="A8" t="s">
        <v>29</v>
      </c>
      <c r="B8">
        <v>0.5</v>
      </c>
      <c r="C8" s="6"/>
      <c r="E8" s="7">
        <v>7.2300446307531381</v>
      </c>
      <c r="F8" s="7">
        <v>0</v>
      </c>
      <c r="M8" t="s">
        <v>26</v>
      </c>
      <c r="P8" t="s">
        <v>30</v>
      </c>
    </row>
    <row r="9" spans="1:16" x14ac:dyDescent="0.25">
      <c r="A9" t="s">
        <v>31</v>
      </c>
      <c r="B9">
        <v>0.12</v>
      </c>
      <c r="C9" s="6">
        <v>4500000</v>
      </c>
      <c r="E9" s="7">
        <v>2.5595773924911289</v>
      </c>
      <c r="F9" s="7">
        <v>0</v>
      </c>
      <c r="M9" t="s">
        <v>32</v>
      </c>
      <c r="N9" t="s">
        <v>33</v>
      </c>
      <c r="P9" t="s">
        <v>34</v>
      </c>
    </row>
    <row r="10" spans="1:16" x14ac:dyDescent="0.25">
      <c r="A10" t="s">
        <v>35</v>
      </c>
      <c r="C10" s="6"/>
      <c r="E10" s="7"/>
      <c r="F10" s="7">
        <v>26.573684220000001</v>
      </c>
    </row>
    <row r="11" spans="1:16" x14ac:dyDescent="0.25">
      <c r="A11" t="s">
        <v>52</v>
      </c>
      <c r="B11">
        <v>0.44400000000000001</v>
      </c>
      <c r="C11" s="6">
        <v>1743000</v>
      </c>
      <c r="F11" s="7"/>
    </row>
    <row r="12" spans="1:16" x14ac:dyDescent="0.25">
      <c r="E12" s="7"/>
      <c r="F12" s="7"/>
    </row>
  </sheetData>
  <hyperlinks>
    <hyperlink ref="M5" r:id="rId1" xr:uid="{83F8EEB3-725B-4A44-8915-0382D3CB08F5}"/>
    <hyperlink ref="N5" r:id="rId2" xr:uid="{251FF512-74F6-4F4B-964D-5D4EAD706837}"/>
    <hyperlink ref="O5" r:id="rId3" xr:uid="{43E127E0-4748-4E25-B1B4-65B57F71AC2C}"/>
    <hyperlink ref="O6" r:id="rId4" xr:uid="{A82E2B93-2F7F-4F07-88F4-FB6D3E8EA27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B4" sqref="B4"/>
    </sheetView>
  </sheetViews>
  <sheetFormatPr defaultRowHeight="15" x14ac:dyDescent="0.25"/>
  <cols>
    <col min="1" max="1" width="22.42578125" bestFit="1" customWidth="1"/>
    <col min="2" max="2" width="18" customWidth="1"/>
    <col min="3" max="3" width="27.5703125" bestFit="1" customWidth="1"/>
    <col min="4" max="4" width="27.5703125" customWidth="1"/>
    <col min="5" max="14" width="18" customWidth="1"/>
  </cols>
  <sheetData>
    <row r="1" spans="1:11" ht="30" x14ac:dyDescent="0.25">
      <c r="A1" s="1" t="s">
        <v>36</v>
      </c>
      <c r="B1" s="1" t="s">
        <v>37</v>
      </c>
      <c r="C1" s="3" t="s">
        <v>45</v>
      </c>
      <c r="D1" s="3" t="s">
        <v>46</v>
      </c>
      <c r="E1" s="1" t="s">
        <v>3</v>
      </c>
      <c r="F1" s="3" t="s">
        <v>47</v>
      </c>
      <c r="G1" s="3" t="s">
        <v>48</v>
      </c>
      <c r="H1" s="3" t="s">
        <v>38</v>
      </c>
      <c r="I1" s="1" t="s">
        <v>11</v>
      </c>
      <c r="J1" s="1" t="s">
        <v>12</v>
      </c>
      <c r="K1" s="1" t="s">
        <v>13</v>
      </c>
    </row>
    <row r="2" spans="1:11" x14ac:dyDescent="0.25">
      <c r="A2" t="s">
        <v>39</v>
      </c>
      <c r="B2">
        <v>0.97</v>
      </c>
      <c r="C2">
        <v>245000</v>
      </c>
      <c r="D2">
        <v>86000</v>
      </c>
      <c r="E2">
        <v>20</v>
      </c>
      <c r="F2">
        <v>3.4299999999999997</v>
      </c>
      <c r="G2" s="4">
        <v>9.77</v>
      </c>
      <c r="H2">
        <v>0</v>
      </c>
      <c r="I2" t="s">
        <v>40</v>
      </c>
      <c r="J2" t="s">
        <v>41</v>
      </c>
      <c r="K2" t="s">
        <v>42</v>
      </c>
    </row>
    <row r="3" spans="1:11" x14ac:dyDescent="0.25">
      <c r="A3" t="s">
        <v>43</v>
      </c>
      <c r="B3">
        <v>0.63</v>
      </c>
      <c r="C3">
        <v>20000</v>
      </c>
      <c r="D3">
        <v>1900000</v>
      </c>
      <c r="E3">
        <v>20</v>
      </c>
      <c r="F3">
        <v>0.01</v>
      </c>
      <c r="G3" s="4">
        <v>2.91</v>
      </c>
      <c r="H3">
        <v>0</v>
      </c>
      <c r="I3" t="s">
        <v>49</v>
      </c>
      <c r="J3" t="s">
        <v>44</v>
      </c>
      <c r="K3" t="s">
        <v>56</v>
      </c>
    </row>
    <row r="4" spans="1:11" x14ac:dyDescent="0.25">
      <c r="A4" s="2"/>
    </row>
  </sheetData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Bober</cp:lastModifiedBy>
  <cp:revision>5</cp:revision>
  <dcterms:created xsi:type="dcterms:W3CDTF">2026-01-23T11:04:05Z</dcterms:created>
  <dcterms:modified xsi:type="dcterms:W3CDTF">2026-02-17T16:20:21Z</dcterms:modified>
</cp:coreProperties>
</file>